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🎨 Dashboard Final" sheetId="1" state="visible" r:id="rId1"/>
    <sheet xmlns:r="http://schemas.openxmlformats.org/officeDocument/2006/relationships" name="🎯 RÉPONSES" sheetId="2" state="visible" r:id="rId2"/>
    <sheet xmlns:r="http://schemas.openxmlformats.org/officeDocument/2006/relationships" name="Phase 0 - Data Cleaning" sheetId="3" state="visible" r:id="rId3"/>
    <sheet xmlns:r="http://schemas.openxmlformats.org/officeDocument/2006/relationships" name="Phase 1 - Analyse Données" sheetId="4" state="visible" r:id="rId4"/>
    <sheet xmlns:r="http://schemas.openxmlformats.org/officeDocument/2006/relationships" name="Phase 2 - Restructuration" sheetId="5" state="visible" r:id="rId5"/>
    <sheet xmlns:r="http://schemas.openxmlformats.org/officeDocument/2006/relationships" name="Phase 3 - Analyse Temporelle" sheetId="6" state="visible" r:id="rId6"/>
    <sheet xmlns:r="http://schemas.openxmlformats.org/officeDocument/2006/relationships" name="Phase 4 - Consolidation" sheetId="7" state="visible" r:id="rId7"/>
    <sheet xmlns:r="http://schemas.openxmlformats.org/officeDocument/2006/relationships" name="Phase 5 - Calculs Financiers" sheetId="8" state="visible" r:id="rId8"/>
    <sheet xmlns:r="http://schemas.openxmlformats.org/officeDocument/2006/relationships" name="Phase 6 - Analyse Avancé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003E7E"/>
      <sz val="14"/>
    </font>
    <font>
      <b val="1"/>
      <color rgb="00003E7E"/>
      <sz val="16"/>
    </font>
    <font>
      <i val="1"/>
      <sz val="10"/>
    </font>
    <font>
      <b val="1"/>
    </font>
    <font>
      <b val="1"/>
      <color rgb="00FFFFFF"/>
      <sz val="11"/>
    </font>
    <font>
      <b val="1"/>
      <color rgb="00FFFFFF"/>
    </font>
    <font/>
    <font>
      <b val="1"/>
      <color rgb="00FFFFFF"/>
      <sz val="12"/>
    </font>
    <font>
      <b val="1"/>
      <i val="1"/>
      <color rgb="00FF6B35"/>
    </font>
    <font>
      <b val="1"/>
      <color rgb="00003E7E"/>
      <sz val="12"/>
    </font>
    <font>
      <i val="1"/>
      <color rgb="00666666"/>
      <sz val="9"/>
    </font>
    <font>
      <b val="1"/>
      <color rgb="00CC0000"/>
      <sz val="11"/>
    </font>
    <font>
      <i val="1"/>
      <color rgb="00666666"/>
    </font>
    <font>
      <b val="1"/>
      <color rgb="0000A3E0"/>
    </font>
    <font>
      <b val="1"/>
      <color rgb="00FFFFFF"/>
      <sz val="9"/>
    </font>
    <font>
      <b val="1"/>
      <sz val="11"/>
    </font>
    <font>
      <b val="1"/>
      <i val="1"/>
      <color rgb="00FF6B35"/>
      <sz val="12"/>
    </font>
    <font>
      <b val="1"/>
      <color rgb="00003E7E"/>
      <sz val="13"/>
    </font>
    <font>
      <b val="1"/>
      <color rgb="0000A3E0"/>
      <sz val="11"/>
    </font>
    <font>
      <b val="1"/>
      <sz val="10"/>
    </font>
    <font>
      <i val="1"/>
      <color rgb="00999999"/>
    </font>
  </fonts>
  <fills count="6">
    <fill>
      <patternFill/>
    </fill>
    <fill>
      <patternFill patternType="gray125"/>
    </fill>
    <fill>
      <patternFill patternType="solid">
        <fgColor rgb="00003E7E"/>
        <bgColor rgb="00003E7E"/>
      </patternFill>
    </fill>
    <fill>
      <patternFill patternType="solid">
        <fgColor rgb="0000A3E0"/>
        <bgColor rgb="0000A3E0"/>
      </patternFill>
    </fill>
    <fill>
      <patternFill patternType="solid">
        <fgColor rgb="00FFFFFF"/>
        <bgColor rgb="00FFFFFF"/>
      </patternFill>
    </fill>
    <fill>
      <patternFill patternType="solid">
        <fgColor rgb="00FF6B35"/>
        <bgColor rgb="00FF6B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1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3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6" fillId="3" borderId="0" pivotButton="0" quotePrefix="0" xfId="0"/>
    <xf numFmtId="0" fontId="15" fillId="3" borderId="1" applyAlignment="1" pivotButton="0" quotePrefix="0" xfId="0">
      <alignment horizontal="left" vertic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8" fillId="2" borderId="0" pivotButton="0" quotePrefix="0" xfId="0"/>
    <xf numFmtId="0" fontId="21" fillId="0" borderId="0" pivotButton="0" quotePrefix="0" xfId="0"/>
    <xf numFmtId="0" fontId="16" fillId="0" borderId="0" pivotButton="0" quotePrefix="0" xfId="0"/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_Commandes_Brutes" displayName="Table_Commandes_Brutes" ref="A18:H268" headerRowCount="1">
  <autoFilter ref="A18:H268"/>
  <tableColumns count="8">
    <tableColumn id="1" name="ID_Commande"/>
    <tableColumn id="2" name="Date_Cmd"/>
    <tableColumn id="3" name="Produit"/>
    <tableColumn id="4" name="Quantite"/>
    <tableColumn id="5" name="Prix_Unit"/>
    <tableColumn id="6" name="Contact"/>
    <tableColumn id="7" name="Statut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Stock_Demande" displayName="Table_Stock_Demande" ref="A272:F452" headerRowCount="1">
  <autoFilter ref="A272:F452"/>
  <tableColumns count="6">
    <tableColumn id="1" name="Produit"/>
    <tableColumn id="2" name="Stock_Actuel"/>
    <tableColumn id="3" name="Demande_Prevue"/>
    <tableColumn id="4" name="Entrepot"/>
    <tableColumn id="5" name="Derniere_MAJ"/>
    <tableColumn id="6" name="Seuil_Aler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apping_Fournisseurs" displayName="Table_Mapping_Fournisseurs" ref="A456:D467" headerRowCount="1">
  <autoFilter ref="A456:D467"/>
  <tableColumns count="4">
    <tableColumn id="1" name="Produit"/>
    <tableColumn id="2" name="ID_Fournisseur"/>
    <tableColumn id="3" name="Nom_Fournisseur"/>
    <tableColumn id="4" name="Delai_Livrai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Nouvelles_Commandes" displayName="Table_Nouvelles_Commandes" ref="A16:K96" headerRowCount="1">
  <autoFilter ref="A16:K96"/>
  <tableColumns count="11">
    <tableColumn id="1" name="ID_Commande"/>
    <tableColumn id="2" name="Date_Cmd"/>
    <tableColumn id="3" name="Produit"/>
    <tableColumn id="4" name="Quantite"/>
    <tableColumn id="5" name="Prix_Unitaire"/>
    <tableColumn id="6" name="Montant_Total"/>
    <tableColumn id="7" name="Contact"/>
    <tableColumn id="8" name="Statut"/>
    <tableColumn id="9" name="ID_Fournisseur"/>
    <tableColumn id="10" name="Stock_Actuel"/>
    <tableColumn id="11" name="Demande_Prev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arges_Produits" displayName="Table_Marges_Produits" ref="A100:C112" headerRowCount="1">
  <autoFilter ref="A100:C112"/>
  <tableColumns count="3">
    <tableColumn id="1" name="Produit"/>
    <tableColumn id="2" name="Marge_Pct"/>
    <tableColumn id="3" name="Categori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Flux_Projet" displayName="Table_Flux_Projet" ref="A18:B138" headerRowCount="1">
  <autoFilter ref="A18:B138"/>
  <tableColumns count="2">
    <tableColumn id="1" name="Mois"/>
    <tableColumn id="2" name="Flux_Mensu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Rendements_Mensuels" displayName="Table_Rendements_Mensuels" ref="A142:B178" headerRowCount="1">
  <autoFilter ref="A142:B178"/>
  <tableColumns count="2">
    <tableColumn id="1" name="Mois"/>
    <tableColumn id="2" name="Rende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Achats_Clients" displayName="Table_Achats_Clients" ref="A15:M40" headerRowCount="1">
  <autoFilter ref="A15:M40"/>
  <tableColumns count="13">
    <tableColumn id="1" name=""/>
    <tableColumn id="2" name="Laptop"/>
    <tableColumn id="3" name="Écran"/>
    <tableColumn id="4" name="Souris"/>
    <tableColumn id="5" name="Clavier"/>
    <tableColumn id="6" name="Webcam"/>
    <tableColumn id="7" name="Casque"/>
    <tableColumn id="8" name="Imprimante"/>
    <tableColumn id="9" name="Scanner"/>
    <tableColumn id="10" name="Tablette"/>
    <tableColumn id="11" name="SSD"/>
    <tableColumn id="12" name="Routeur"/>
    <tableColumn id="13" name="Switc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CA_Mensuel" displayName="Table_CA_Mensuel" ref="A44:M56" headerRowCount="1">
  <autoFilter ref="A44:M56"/>
  <tableColumns count="13">
    <tableColumn id="1" name=""/>
    <tableColumn id="2" name="Jan"/>
    <tableColumn id="3" name="Fev"/>
    <tableColumn id="4" name="Mar"/>
    <tableColumn id="5" name="Avr"/>
    <tableColumn id="6" name="Mai"/>
    <tableColumn id="7" name="Jun"/>
    <tableColumn id="8" name="Jul"/>
    <tableColumn id="9" name="Aou"/>
    <tableColumn id="10" name="Sep"/>
    <tableColumn id="11" name="Oct"/>
    <tableColumn id="12" name="Nov"/>
    <tableColumn id="13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0" customHeight="1">
      <c r="A1" s="1" t="inlineStr">
        <is>
          <t>🎨 PHASE FINALE : DASHBOARD NEXUS CORPORATION</t>
        </is>
      </c>
    </row>
    <row r="3">
      <c r="A3" s="17" t="inlineStr">
        <is>
          <t>⏱️ Temps restant | 🎯 Points : 500</t>
        </is>
      </c>
    </row>
    <row r="5">
      <c r="A5" s="18" t="inlineStr">
        <is>
          <t>🎯 MISSION FINALE</t>
        </is>
      </c>
    </row>
    <row r="6">
      <c r="A6" t="inlineStr"/>
    </row>
    <row r="7">
      <c r="A7" t="inlineStr">
        <is>
          <t>Créer le dashboard de présentation pour Nexus Corporation en utilisant les données nettoyées</t>
        </is>
      </c>
    </row>
    <row r="8">
      <c r="A8" t="inlineStr"/>
    </row>
    <row r="9">
      <c r="A9" s="19" t="inlineStr">
        <is>
          <t>📊 CONTENU OBLIGATOIRE :</t>
        </is>
      </c>
    </row>
    <row r="10">
      <c r="A10" s="20" t="inlineStr">
        <is>
          <t>1. KPIs clés : CA total, Nombre commandes, Panier moyen, Produits critiques</t>
        </is>
      </c>
    </row>
    <row r="11">
      <c r="A11" s="20" t="inlineStr">
        <is>
          <t>2. Graphique : Évolution du CA mensuel (Table_Donnees_Propres)</t>
        </is>
      </c>
    </row>
    <row r="12">
      <c r="A12" s="20" t="inlineStr">
        <is>
          <t>3. Graphique : Top 5 produits par volume de ventes</t>
        </is>
      </c>
    </row>
    <row r="13">
      <c r="A13" s="20" t="inlineStr">
        <is>
          <t>4. Graphique : Répartition CA par fournisseur (camembert)</t>
        </is>
      </c>
    </row>
    <row r="14">
      <c r="A14" s="20" t="inlineStr">
        <is>
          <t>5. Tableau : Alertes stock (produits critiques identifiés en Phase 1)</t>
        </is>
      </c>
    </row>
    <row r="15">
      <c r="A15" t="inlineStr"/>
    </row>
    <row r="16">
      <c r="A16" s="19" t="inlineStr">
        <is>
          <t>🎨 CONSIGNES DE DESIGN :</t>
        </is>
      </c>
    </row>
    <row r="17">
      <c r="A17" s="2" t="inlineStr">
        <is>
          <t>• Couleurs BearingPoint exclusivement (#003E7E, #00A3E0, #FF6B35)</t>
        </is>
      </c>
    </row>
    <row r="18">
      <c r="A18" s="2" t="inlineStr">
        <is>
          <t>• Titres clairs et professionnels sur chaque graphique</t>
        </is>
      </c>
    </row>
    <row r="19">
      <c r="A19" s="2" t="inlineStr">
        <is>
          <t>• Organisation en 3 zones : KPIs (haut), Graphiques (milieu), Alertes (bas)</t>
        </is>
      </c>
    </row>
    <row r="20">
      <c r="A20" s="2" t="inlineStr">
        <is>
          <t>• Mise en forme soignée et cohérente</t>
        </is>
      </c>
    </row>
    <row r="21">
      <c r="A21" t="inlineStr"/>
    </row>
    <row r="22">
      <c r="A22" s="19" t="inlineStr">
        <is>
          <t>📁 SOURCES DE DONNÉES :</t>
        </is>
      </c>
    </row>
    <row r="23">
      <c r="A23" s="2" t="inlineStr">
        <is>
          <t>• Table_Donnees_Propres (Phase 0 nettoyée)</t>
        </is>
      </c>
    </row>
    <row r="24">
      <c r="A24" s="2" t="inlineStr">
        <is>
          <t>• Table_Nouvelles_Commandes (Phase 4)</t>
        </is>
      </c>
    </row>
    <row r="25">
      <c r="A25" s="2" t="inlineStr">
        <is>
          <t>• Table_Flux_Projet et Table_CA_Mensuel</t>
        </is>
      </c>
    </row>
    <row r="26">
      <c r="A26" t="inlineStr"/>
    </row>
    <row r="27">
      <c r="A27" s="19" t="inlineStr">
        <is>
          <t>✅ CRITÈRES D'ÉVALUATION (500 pts) :</t>
        </is>
      </c>
    </row>
    <row r="28">
      <c r="A28" s="2" t="inlineStr">
        <is>
          <t>• Présence et exactitude des KPIs : 100 pts</t>
        </is>
      </c>
    </row>
    <row r="29">
      <c r="A29" s="2" t="inlineStr">
        <is>
          <t>• Qualité et pertinence des graphiques : 150 pts</t>
        </is>
      </c>
    </row>
    <row r="30">
      <c r="A30" s="2" t="inlineStr">
        <is>
          <t>• Design et respect charte graphique : 150 pts</t>
        </is>
      </c>
    </row>
    <row r="31">
      <c r="A31" s="2" t="inlineStr">
        <is>
          <t>• Clarté du message pour le client : 100 pts</t>
        </is>
      </c>
    </row>
    <row r="32">
      <c r="A32" t="inlineStr"/>
    </row>
    <row r="33">
      <c r="A33" t="inlineStr">
        <is>
          <t>💡 BONUS : Ajoutez une prévision de CA pour le prochain trimestre (+50 pts)</t>
        </is>
      </c>
    </row>
    <row r="35">
      <c r="A35" s="21" t="inlineStr">
        <is>
          <t>📐 ZONE DE CONSTRUCTION DU DASHBOARD</t>
        </is>
      </c>
    </row>
    <row r="37">
      <c r="A37" s="22" t="inlineStr">
        <is>
          <t>Construisez votre dashboard professionnel ci-dessous...</t>
        </is>
      </c>
    </row>
  </sheetData>
  <mergeCells count="31">
    <mergeCell ref="A9:H9"/>
    <mergeCell ref="A30:H30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33:H33"/>
    <mergeCell ref="A14:H14"/>
    <mergeCell ref="A23:H23"/>
    <mergeCell ref="A32:H32"/>
    <mergeCell ref="A8:H8"/>
    <mergeCell ref="A22:H22"/>
    <mergeCell ref="A17:H17"/>
    <mergeCell ref="A29:H29"/>
    <mergeCell ref="A35:H35"/>
    <mergeCell ref="A20:H20"/>
    <mergeCell ref="A10:H10"/>
    <mergeCell ref="A28:H28"/>
    <mergeCell ref="A13:H13"/>
    <mergeCell ref="A19:H1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30" customWidth="1" min="4" max="4"/>
    <col width="18" customWidth="1" min="5" max="5"/>
    <col width="18" customWidth="1" min="6" max="6"/>
    <col width="35" customWidth="1" min="7" max="7"/>
    <col width="35" customWidth="1" min="8" max="8"/>
  </cols>
  <sheetData>
    <row r="1" ht="30" customHeight="1">
      <c r="A1" s="1" t="inlineStr">
        <is>
          <t>🎯 FEUILLE DE RÉPONSES - LE DOSSIER PERDU 2.0</t>
        </is>
      </c>
    </row>
    <row r="3">
      <c r="A3" s="2" t="inlineStr">
        <is>
          <t>Instructions : Saisissez vos réponses. Les formules utilisent le séparateur point-virgule (;)</t>
        </is>
      </c>
    </row>
    <row r="5">
      <c r="A5" s="3" t="inlineStr">
        <is>
          <t>Niveau</t>
        </is>
      </c>
      <c r="B5" s="3" t="inlineStr">
        <is>
          <t>Exercice</t>
        </is>
      </c>
      <c r="C5" s="3" t="inlineStr">
        <is>
          <t>Votre Réponse (Texte)</t>
        </is>
      </c>
      <c r="D5" s="3" t="inlineStr">
        <is>
          <t>Votre Résultat</t>
        </is>
      </c>
      <c r="E5" s="3" t="inlineStr">
        <is>
          <t>Réponse Attendue</t>
        </is>
      </c>
      <c r="F5" s="3" t="inlineStr">
        <is>
          <t>Points</t>
        </is>
      </c>
      <c r="G5" s="3" t="inlineStr">
        <is>
          <t>Indice 1</t>
        </is>
      </c>
      <c r="H5" s="3" t="inlineStr">
        <is>
          <t>Indice 2</t>
        </is>
      </c>
    </row>
    <row r="6">
      <c r="A6" s="4" t="inlineStr">
        <is>
          <t>Phase 0</t>
        </is>
      </c>
      <c r="B6" s="5" t="inlineStr">
        <is>
          <t>Data Cleaning complet</t>
        </is>
      </c>
      <c r="C6" s="5" t="inlineStr"/>
      <c r="D6" s="5" t="inlineStr"/>
      <c r="E6" s="5" t="inlineStr">
        <is>
          <t>Table_Donnees_Propres créée</t>
        </is>
      </c>
      <c r="F6" s="5" t="inlineStr">
        <is>
          <t>100</t>
        </is>
      </c>
      <c r="G6" s="5" t="inlineStr">
        <is>
          <t>Fusionner avec Power Query</t>
        </is>
      </c>
      <c r="H6" s="5" t="inlineStr">
        <is>
          <t>Nettoyer avec TRIM; CLEAN; PROPER</t>
        </is>
      </c>
    </row>
    <row r="7">
      <c r="A7" s="4" t="inlineStr">
        <is>
          <t>Phase 1</t>
        </is>
      </c>
      <c r="B7" s="5" t="inlineStr">
        <is>
          <t>Ex1: Commandes Alex Dumas</t>
        </is>
      </c>
      <c r="C7" s="5">
        <f>XLOOKUP(...)</f>
        <v/>
      </c>
      <c r="D7" s="5" t="inlineStr"/>
      <c r="E7" s="5" t="inlineStr">
        <is>
          <t>Nombre de commandes</t>
        </is>
      </c>
      <c r="F7" s="5" t="inlineStr">
        <is>
          <t>50</t>
        </is>
      </c>
      <c r="G7" s="5" t="inlineStr">
        <is>
          <t>Chercher dans colonne Contact</t>
        </is>
      </c>
      <c r="H7" s="5" t="inlineStr">
        <is>
          <t>Utiliser Table_Donnees_Propres</t>
        </is>
      </c>
    </row>
    <row r="8">
      <c r="B8" s="5" t="inlineStr">
        <is>
          <t>Ex2: Produits critiques</t>
        </is>
      </c>
      <c r="C8" s="5">
        <f>FILTER(...)</f>
        <v/>
      </c>
      <c r="D8" s="5" t="inlineStr"/>
      <c r="E8" s="5" t="inlineStr">
        <is>
          <t>Liste produits</t>
        </is>
      </c>
      <c r="F8" s="5" t="inlineStr">
        <is>
          <t>75</t>
        </is>
      </c>
      <c r="G8" s="5" t="inlineStr">
        <is>
          <t>Stock&lt;50 ET Demande&gt;100</t>
        </is>
      </c>
      <c r="H8" s="5" t="inlineStr">
        <is>
          <t>Double condition avec *</t>
        </is>
      </c>
    </row>
    <row r="9">
      <c r="B9" s="5" t="inlineStr">
        <is>
          <t>Ex3: Fournisseurs concernés</t>
        </is>
      </c>
      <c r="C9" s="5">
        <f>UNIQUE(...)</f>
        <v/>
      </c>
      <c r="D9" s="5" t="inlineStr"/>
      <c r="E9" s="5" t="inlineStr">
        <is>
          <t>Liste fournisseurs</t>
        </is>
      </c>
      <c r="F9" s="5" t="inlineStr">
        <is>
          <t>75</t>
        </is>
      </c>
      <c r="G9" s="5" t="inlineStr">
        <is>
          <t>UNIQUE sur ID_Fournisseur</t>
        </is>
      </c>
      <c r="H9" s="5" t="inlineStr">
        <is>
          <t>Des produits filtrés</t>
        </is>
      </c>
    </row>
    <row r="10">
      <c r="A10" s="4" t="inlineStr">
        <is>
          <t>Phase 2</t>
        </is>
      </c>
      <c r="B10" s="5" t="inlineStr">
        <is>
          <t>Ex1: Réorganiser données</t>
        </is>
      </c>
      <c r="C10" s="5">
        <f>CHOOSECOLS(...)</f>
        <v/>
      </c>
      <c r="D10" s="5" t="inlineStr"/>
      <c r="E10" s="5" t="inlineStr">
        <is>
          <t>Tableau réorganisé</t>
        </is>
      </c>
      <c r="F10" s="5" t="inlineStr">
        <is>
          <t>100</t>
        </is>
      </c>
      <c r="G10" s="5" t="inlineStr">
        <is>
          <t>Sélectionner colonnes utiles</t>
        </is>
      </c>
      <c r="H10" s="5" t="inlineStr">
        <is>
          <t>Ordre logique métier</t>
        </is>
      </c>
    </row>
    <row r="11">
      <c r="B11" s="5" t="inlineStr">
        <is>
          <t>Ex2: CA par ligne</t>
        </is>
      </c>
      <c r="C11" s="5">
        <f>BYROW(...)</f>
        <v/>
      </c>
      <c r="D11" s="5" t="inlineStr"/>
      <c r="E11" s="5" t="inlineStr">
        <is>
          <t>CA calculés</t>
        </is>
      </c>
      <c r="F11" s="5" t="inlineStr">
        <is>
          <t>100</t>
        </is>
      </c>
      <c r="G11" s="5" t="inlineStr">
        <is>
          <t>Quantite × Prix_Unitaire</t>
        </is>
      </c>
      <c r="H11" s="5" t="inlineStr">
        <is>
          <t>LAMBDA sur chaque ligne</t>
        </is>
      </c>
    </row>
    <row r="12">
      <c r="A12" s="4" t="inlineStr">
        <is>
          <t>Phase 3</t>
        </is>
      </c>
      <c r="B12" s="5" t="inlineStr">
        <is>
          <t>Ex1: Dernières commandes</t>
        </is>
      </c>
      <c r="C12" s="5">
        <f>TAKE(...; -200)</f>
        <v/>
      </c>
      <c r="D12" s="5" t="inlineStr"/>
      <c r="E12" s="5" t="inlineStr">
        <is>
          <t>200 lignes</t>
        </is>
      </c>
      <c r="F12" s="5" t="inlineStr">
        <is>
          <t>75</t>
        </is>
      </c>
      <c r="G12" s="5" t="inlineStr">
        <is>
          <t>Négatif = depuis la fin</t>
        </is>
      </c>
      <c r="H12" s="5" t="inlineStr">
        <is>
          <t>Analyser tendances récentes</t>
        </is>
      </c>
    </row>
    <row r="13">
      <c r="B13" s="5" t="inlineStr">
        <is>
          <t>Ex2: Retirer tests</t>
        </is>
      </c>
      <c r="C13" s="5">
        <f>DROP(...; 50)</f>
        <v/>
      </c>
      <c r="D13" s="5" t="inlineStr"/>
      <c r="E13" s="5" t="inlineStr">
        <is>
          <t>Dataset nettoyé</t>
        </is>
      </c>
      <c r="F13" s="5" t="inlineStr">
        <is>
          <t>75</t>
        </is>
      </c>
      <c r="G13" s="5" t="inlineStr">
        <is>
          <t>50 premières = données test</t>
        </is>
      </c>
      <c r="H13" s="5" t="inlineStr">
        <is>
          <t>DROP retire du début</t>
        </is>
      </c>
    </row>
    <row r="14">
      <c r="B14" s="5" t="inlineStr">
        <is>
          <t>Ex3: Augmentation prix 5%</t>
        </is>
      </c>
      <c r="C14" s="5">
        <f>MAP(...)</f>
        <v/>
      </c>
      <c r="D14" s="5" t="inlineStr"/>
      <c r="E14" s="5" t="inlineStr">
        <is>
          <t>Prix augmentés</t>
        </is>
      </c>
      <c r="F14" s="5" t="inlineStr">
        <is>
          <t>100</t>
        </is>
      </c>
      <c r="G14" s="5" t="inlineStr">
        <is>
          <t>MAP transforme chaque valeur</t>
        </is>
      </c>
      <c r="H14" s="5" t="inlineStr">
        <is>
          <t>LAMBDA(x; x * 1;05)</t>
        </is>
      </c>
    </row>
    <row r="15">
      <c r="A15" s="4" t="inlineStr">
        <is>
          <t>Phase 4</t>
        </is>
      </c>
      <c r="B15" s="5" t="inlineStr">
        <is>
          <t>Ex1: Consolider données</t>
        </is>
      </c>
      <c r="C15" s="5">
        <f>VSTACK(...)</f>
        <v/>
      </c>
      <c r="D15" s="5" t="inlineStr"/>
      <c r="E15" s="5" t="inlineStr">
        <is>
          <t>Toutes commandes</t>
        </is>
      </c>
      <c r="F15" s="5" t="inlineStr">
        <is>
          <t>100</t>
        </is>
      </c>
      <c r="G15" s="5" t="inlineStr">
        <is>
          <t>Empiler verticalement</t>
        </is>
      </c>
      <c r="H15" s="5" t="inlineStr">
        <is>
          <t>Données Phase 0 + nouvelles</t>
        </is>
      </c>
    </row>
    <row r="16">
      <c r="B16" s="5" t="inlineStr">
        <is>
          <t>Ex2: Enrichir avec infos produits</t>
        </is>
      </c>
      <c r="C16" s="5">
        <f>HSTACK(...)</f>
        <v/>
      </c>
      <c r="D16" s="5" t="inlineStr"/>
      <c r="E16" s="5" t="inlineStr">
        <is>
          <t>Colonnes ajoutées</t>
        </is>
      </c>
      <c r="F16" s="5" t="inlineStr">
        <is>
          <t>100</t>
        </is>
      </c>
      <c r="G16" s="5" t="inlineStr">
        <is>
          <t>Ajouter horizontalement</t>
        </is>
      </c>
      <c r="H16" s="5" t="inlineStr">
        <is>
          <t>Catégories et marges</t>
        </is>
      </c>
    </row>
    <row r="17">
      <c r="B17" s="5" t="inlineStr">
        <is>
          <t>Ex3: CA par fournisseur</t>
        </is>
      </c>
      <c r="C17" s="5">
        <f>GROUPBY(...)</f>
        <v/>
      </c>
      <c r="D17" s="5" t="inlineStr"/>
      <c r="E17" s="5" t="inlineStr">
        <is>
          <t>Totaux agrégés</t>
        </is>
      </c>
      <c r="F17" s="5" t="inlineStr">
        <is>
          <t>100</t>
        </is>
      </c>
      <c r="G17" s="5" t="inlineStr">
        <is>
          <t>Grouper par ID_Fournisseur</t>
        </is>
      </c>
      <c r="H17" s="5" t="inlineStr">
        <is>
          <t>Sommer les montants</t>
        </is>
      </c>
    </row>
    <row r="18">
      <c r="A18" s="4" t="inlineStr">
        <is>
          <t>Phase 5</t>
        </is>
      </c>
      <c r="B18" s="5" t="inlineStr">
        <is>
          <t>Ex1: ROI investissement</t>
        </is>
      </c>
      <c r="C18" s="5">
        <f>REDUCE(...)</f>
        <v/>
      </c>
      <c r="D18" s="5" t="inlineStr"/>
      <c r="E18" s="5" t="inlineStr">
        <is>
          <t>VAN calculée</t>
        </is>
      </c>
      <c r="F18" s="5" t="inlineStr">
        <is>
          <t>150</t>
        </is>
      </c>
      <c r="G18" s="5" t="inlineStr">
        <is>
          <t>Somme actualisée des flux</t>
        </is>
      </c>
      <c r="H18" s="5" t="inlineStr">
        <is>
          <t>Actualiser par (1+taux)^période</t>
        </is>
      </c>
    </row>
    <row r="19">
      <c r="B19" s="5" t="inlineStr">
        <is>
          <t>Ex2: Performance cumulative</t>
        </is>
      </c>
      <c r="C19" s="5">
        <f>SCAN(...)</f>
        <v/>
      </c>
      <c r="D19" s="5" t="inlineStr"/>
      <c r="E19" s="5" t="inlineStr">
        <is>
          <t>Rendements cumulés</t>
        </is>
      </c>
      <c r="F19" s="5" t="inlineStr">
        <is>
          <t>150</t>
        </is>
      </c>
      <c r="G19" s="5" t="inlineStr">
        <is>
          <t>SCAN garde toutes les étapes</t>
        </is>
      </c>
      <c r="H19" s="5" t="inlineStr">
        <is>
          <t>Multiplier rendements successifs</t>
        </is>
      </c>
    </row>
    <row r="20">
      <c r="B20" s="5" t="inlineStr">
        <is>
          <t>Ex3: Optimiser avec LET</t>
        </is>
      </c>
      <c r="C20" s="5">
        <f>LET(...)</f>
        <v/>
      </c>
      <c r="D20" s="5" t="inlineStr"/>
      <c r="E20" s="5" t="inlineStr">
        <is>
          <t>Formule optimisée</t>
        </is>
      </c>
      <c r="F20" s="5" t="inlineStr">
        <is>
          <t>150</t>
        </is>
      </c>
      <c r="G20" s="5" t="inlineStr">
        <is>
          <t>Nommer les variables</t>
        </is>
      </c>
      <c r="H20" s="5" t="inlineStr">
        <is>
          <t>Éviter répétitions</t>
        </is>
      </c>
    </row>
    <row r="21">
      <c r="A21" s="4" t="inlineStr">
        <is>
          <t>Phase 6</t>
        </is>
      </c>
      <c r="B21" s="5" t="inlineStr">
        <is>
          <t>Ex1: Analyse pivot clients</t>
        </is>
      </c>
      <c r="C21" s="5">
        <f>TOCOL(...)</f>
        <v/>
      </c>
      <c r="D21" s="5" t="inlineStr"/>
      <c r="E21" s="5" t="inlineStr">
        <is>
          <t>Liste linéaire</t>
        </is>
      </c>
      <c r="F21" s="5" t="inlineStr">
        <is>
          <t>100</t>
        </is>
      </c>
      <c r="G21" s="5" t="inlineStr">
        <is>
          <t>Transformer matrice en colonne</t>
        </is>
      </c>
      <c r="H21" s="5" t="inlineStr">
        <is>
          <t>Pour analyses statistiques</t>
        </is>
      </c>
    </row>
    <row r="22">
      <c r="B22" s="5" t="inlineStr">
        <is>
          <t>Ex2: Transposer CA mensuel</t>
        </is>
      </c>
      <c r="C22" s="5">
        <f>TRANSPOSE(...)</f>
        <v/>
      </c>
      <c r="D22" s="5" t="inlineStr"/>
      <c r="E22" s="5" t="inlineStr">
        <is>
          <t>Pivot effectué</t>
        </is>
      </c>
      <c r="F22" s="5" t="inlineStr">
        <is>
          <t>100</t>
        </is>
      </c>
      <c r="G22" s="5" t="inlineStr">
        <is>
          <t>Inverser lignes et colonnes</t>
        </is>
      </c>
      <c r="H22" s="5" t="inlineStr">
        <is>
          <t>Facilite certains graphiques</t>
        </is>
      </c>
    </row>
    <row r="24">
      <c r="E24" s="6" t="inlineStr">
        <is>
          <t>TOTAL POINTS</t>
        </is>
      </c>
      <c r="F24" s="6">
        <f>SUM(F6:F22)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7" t="inlineStr">
        <is>
          <t>🧹 PHASE 0 : DATA CLEANING</t>
        </is>
      </c>
    </row>
    <row r="2">
      <c r="A2" s="8" t="inlineStr">
        <is>
          <t>⏱️ Durée : 20 min | 🎯 Points : 100</t>
        </is>
      </c>
    </row>
    <row r="4">
      <c r="A4" s="9" t="inlineStr">
        <is>
          <t>🎯 MISSION</t>
        </is>
      </c>
    </row>
    <row r="5">
      <c r="A5" t="inlineStr">
        <is>
          <t>Nettoyer et fusionner ces données. Le résultat sera utilisé dans TOUTES les phases suivantes !</t>
        </is>
      </c>
    </row>
    <row r="6">
      <c r="A6" t="inlineStr">
        <is>
          <t>Créer une table propre 'Table_Donnees_Propres' avec les colonnes :</t>
        </is>
      </c>
    </row>
    <row r="7">
      <c r="A7" s="10" t="inlineStr">
        <is>
          <t>ID_Commande | Date_Cmd | Produit | Quantite | Prix_Unitaire | Montant_Total | Contact | Statut | ID_Fournisseur | Stock_Actuel | Demande_Prevue</t>
        </is>
      </c>
    </row>
    <row r="9">
      <c r="A9" s="9" t="inlineStr">
        <is>
          <t>💡 CONSIGNES</t>
        </is>
      </c>
    </row>
    <row r="10">
      <c r="A10" t="inlineStr">
        <is>
          <t>1. Fusionner les 3 sources avec Power Query</t>
        </is>
      </c>
    </row>
    <row r="11">
      <c r="A11" t="inlineStr">
        <is>
          <t>2. Nettoyer : TRIM() pour espaces, PROPER() pour casse, CLEAN() pour caractères invisibles</t>
        </is>
      </c>
    </row>
    <row r="12">
      <c r="A12" t="inlineStr">
        <is>
          <t>3. Standardiser dates : format AAAA-MM-JJ</t>
        </is>
      </c>
    </row>
    <row r="13">
      <c r="A13" t="inlineStr">
        <is>
          <t>4. Convertir quantités/prix en nombres avec VALUE()</t>
        </is>
      </c>
    </row>
    <row r="14">
      <c r="A14" t="inlineStr">
        <is>
          <t>5. Calculer Montant_Total = Quantite × Prix_Unitaire</t>
        </is>
      </c>
    </row>
    <row r="17">
      <c r="A17" s="11" t="inlineStr">
        <is>
          <t>📋 SOURCE 1 : COMMANDES CLIENT</t>
        </is>
      </c>
    </row>
    <row r="18">
      <c r="A18" s="4" t="inlineStr">
        <is>
          <t>ID_Commande</t>
        </is>
      </c>
      <c r="B18" s="4" t="inlineStr">
        <is>
          <t>Date_Cmd</t>
        </is>
      </c>
      <c r="C18" s="4" t="inlineStr">
        <is>
          <t>Produit</t>
        </is>
      </c>
      <c r="D18" s="4" t="inlineStr">
        <is>
          <t>Quantite</t>
        </is>
      </c>
      <c r="E18" s="4" t="inlineStr">
        <is>
          <t>Prix_Unit</t>
        </is>
      </c>
      <c r="F18" s="4" t="inlineStr">
        <is>
          <t>Contact</t>
        </is>
      </c>
      <c r="G18" s="4" t="inlineStr">
        <is>
          <t>Statut</t>
        </is>
      </c>
      <c r="H18" s="4" t="inlineStr">
        <is>
          <t>Notes</t>
        </is>
      </c>
    </row>
    <row r="19">
      <c r="A19" s="5" t="inlineStr">
        <is>
          <t>CMD1000</t>
        </is>
      </c>
      <c r="B19" s="5" t="inlineStr">
        <is>
          <t>15-Jan-2024</t>
        </is>
      </c>
      <c r="C19" s="5" t="inlineStr">
        <is>
          <t xml:space="preserve">  Tablette Graphique </t>
        </is>
      </c>
      <c r="D19" s="5" t="inlineStr">
        <is>
          <t>18 unités</t>
        </is>
      </c>
      <c r="E19" s="5" t="inlineStr">
        <is>
          <t>€295.1</t>
        </is>
      </c>
      <c r="F19" s="5" t="inlineStr">
        <is>
          <t xml:space="preserve">  Client_048</t>
        </is>
      </c>
      <c r="G19" s="5" t="inlineStr">
        <is>
          <t>VALIDE</t>
        </is>
      </c>
      <c r="H19" s="5" t="inlineStr"/>
    </row>
    <row r="20">
      <c r="A20" s="5" t="inlineStr">
        <is>
          <t>CMD1001</t>
        </is>
      </c>
      <c r="B20" s="5" t="inlineStr">
        <is>
          <t>2024-01-15</t>
        </is>
      </c>
      <c r="C20" s="5" t="inlineStr">
        <is>
          <t>souris logitech mx</t>
        </is>
      </c>
      <c r="D20" s="5" t="n">
        <v>50</v>
      </c>
      <c r="E20" s="5" t="n">
        <v>942.21</v>
      </c>
      <c r="F20" s="5" t="inlineStr">
        <is>
          <t xml:space="preserve">Client_009  </t>
        </is>
      </c>
      <c r="G20" s="5" t="inlineStr">
        <is>
          <t>VALIDE</t>
        </is>
      </c>
      <c r="H20" s="5" t="inlineStr"/>
    </row>
    <row r="21">
      <c r="A21" s="5" t="inlineStr">
        <is>
          <t>CMD1002</t>
        </is>
      </c>
      <c r="B21" s="5" t="inlineStr">
        <is>
          <t>01-15-24</t>
        </is>
      </c>
      <c r="C21" s="5" t="inlineStr">
        <is>
          <t>ROUTEUR WIFI 6</t>
        </is>
      </c>
      <c r="D21" s="5" t="n">
        <v>42</v>
      </c>
      <c r="E21" s="5" t="n">
        <v>1858</v>
      </c>
      <c r="F21" s="5" t="inlineStr">
        <is>
          <t>Client_014</t>
        </is>
      </c>
      <c r="G21" s="5" t="inlineStr">
        <is>
          <t>VALIDE</t>
        </is>
      </c>
      <c r="H21" s="5" t="inlineStr"/>
    </row>
    <row r="22">
      <c r="A22" s="5" t="inlineStr">
        <is>
          <t>CMD1003</t>
        </is>
      </c>
      <c r="B22" s="5" t="inlineStr">
        <is>
          <t>01-15-24</t>
        </is>
      </c>
      <c r="C22" s="5" t="inlineStr">
        <is>
          <t>Tablette Graphique</t>
        </is>
      </c>
      <c r="D22" s="5" t="n">
        <v>50</v>
      </c>
      <c r="E22" s="5" t="n">
        <v>2795.45</v>
      </c>
      <c r="F22" s="5" t="inlineStr">
        <is>
          <t>Client_007</t>
        </is>
      </c>
      <c r="G22" s="5" t="inlineStr">
        <is>
          <t>En cours</t>
        </is>
      </c>
      <c r="H22" s="5" t="inlineStr"/>
    </row>
    <row r="23">
      <c r="A23" s="5" t="inlineStr">
        <is>
          <t>CMD1004</t>
        </is>
      </c>
      <c r="B23" s="5" t="inlineStr">
        <is>
          <t>15-Jan-2024</t>
        </is>
      </c>
      <c r="C23" s="5" t="inlineStr">
        <is>
          <t>Écran DELL 24"</t>
        </is>
      </c>
      <c r="D23" s="5" t="n">
        <v>27</v>
      </c>
      <c r="E23" s="5" t="n">
        <v>443.44</v>
      </c>
      <c r="F23" s="5" t="inlineStr">
        <is>
          <t>Client_018</t>
        </is>
      </c>
      <c r="G23" s="5" t="inlineStr">
        <is>
          <t>livré</t>
        </is>
      </c>
      <c r="H23" s="5" t="inlineStr"/>
    </row>
    <row r="24">
      <c r="A24" s="5" t="inlineStr">
        <is>
          <t>CMD1005</t>
        </is>
      </c>
      <c r="B24" s="5" t="inlineStr">
        <is>
          <t>2024.01.15</t>
        </is>
      </c>
      <c r="C24" s="5" t="inlineStr">
        <is>
          <t xml:space="preserve">  Scanner Pro A4 </t>
        </is>
      </c>
      <c r="D24" s="5" t="n">
        <v>17</v>
      </c>
      <c r="E24" s="5" t="n">
        <v>2121.26</v>
      </c>
      <c r="F24" s="5" t="inlineStr">
        <is>
          <t>Client_028</t>
        </is>
      </c>
      <c r="G24" s="5" t="inlineStr">
        <is>
          <t>Livré</t>
        </is>
      </c>
      <c r="H24" s="5" t="inlineStr"/>
    </row>
    <row r="25">
      <c r="A25" s="5" t="inlineStr">
        <is>
          <t>CMD1006</t>
        </is>
      </c>
      <c r="B25" s="5" t="inlineStr">
        <is>
          <t>15-Jan-2024</t>
        </is>
      </c>
      <c r="C25" s="5" t="inlineStr">
        <is>
          <t>laptop hp probook</t>
        </is>
      </c>
      <c r="D25" s="5" t="n">
        <v>34</v>
      </c>
      <c r="E25" s="5" t="n">
        <v>1577.23</v>
      </c>
      <c r="F25" s="5" t="inlineStr">
        <is>
          <t>Client_026</t>
        </is>
      </c>
      <c r="G25" s="5" t="inlineStr">
        <is>
          <t>VALIDE</t>
        </is>
      </c>
      <c r="H25" s="5" t="inlineStr"/>
    </row>
    <row r="26">
      <c r="A26" s="5" t="inlineStr">
        <is>
          <t>CMD1007</t>
        </is>
      </c>
      <c r="B26" s="5" t="inlineStr">
        <is>
          <t>2024-01-15</t>
        </is>
      </c>
      <c r="C26" s="5" t="inlineStr">
        <is>
          <t>SWITCH 24 PORTS</t>
        </is>
      </c>
      <c r="D26" s="5" t="n">
        <v>30</v>
      </c>
      <c r="E26" s="5" t="n">
        <v>1638.08</v>
      </c>
      <c r="F26" s="5" t="inlineStr">
        <is>
          <t>Client_004</t>
        </is>
      </c>
      <c r="G26" s="5" t="inlineStr">
        <is>
          <t>Livré</t>
        </is>
      </c>
      <c r="H26" s="5" t="inlineStr"/>
    </row>
    <row r="27">
      <c r="A27" s="5" t="inlineStr">
        <is>
          <t>CMD1008</t>
        </is>
      </c>
      <c r="B27" s="5" t="inlineStr">
        <is>
          <t>2024-01-15</t>
        </is>
      </c>
      <c r="C27" s="5" t="inlineStr">
        <is>
          <t>Scanner Pro A4</t>
        </is>
      </c>
      <c r="D27" s="5" t="n">
        <v>11</v>
      </c>
      <c r="E27" s="5" t="n">
        <v>652.9</v>
      </c>
      <c r="F27" s="5" t="inlineStr">
        <is>
          <t xml:space="preserve">  Client_040</t>
        </is>
      </c>
      <c r="G27" s="5" t="inlineStr">
        <is>
          <t>valide</t>
        </is>
      </c>
      <c r="H27" s="5" t="inlineStr"/>
    </row>
    <row r="28">
      <c r="A28" s="5" t="inlineStr">
        <is>
          <t>CMD1009</t>
        </is>
      </c>
      <c r="B28" s="5" t="inlineStr">
        <is>
          <t>2024-01-15</t>
        </is>
      </c>
      <c r="C28" s="5" t="inlineStr">
        <is>
          <t>Webcam HD 1080p</t>
        </is>
      </c>
      <c r="D28" s="5" t="n">
        <v>48</v>
      </c>
      <c r="E28" s="5" t="n">
        <v>2667.95</v>
      </c>
      <c r="F28" s="5" t="inlineStr">
        <is>
          <t xml:space="preserve">Client_026  </t>
        </is>
      </c>
      <c r="G28" s="5" t="inlineStr">
        <is>
          <t>En cours</t>
        </is>
      </c>
      <c r="H28" s="5" t="inlineStr"/>
    </row>
    <row r="29">
      <c r="A29" s="5" t="inlineStr">
        <is>
          <t>CMD1010</t>
        </is>
      </c>
      <c r="B29" s="5" t="inlineStr">
        <is>
          <t>2024.01.15</t>
        </is>
      </c>
      <c r="C29" s="5" t="inlineStr">
        <is>
          <t xml:space="preserve">  Écran DELL 24" </t>
        </is>
      </c>
      <c r="D29" s="5" t="n">
        <v>28</v>
      </c>
      <c r="E29" s="5" t="n">
        <v>1843.05</v>
      </c>
      <c r="F29" s="5" t="inlineStr">
        <is>
          <t>Client_001</t>
        </is>
      </c>
      <c r="G29" s="5" t="inlineStr">
        <is>
          <t>VALIDE</t>
        </is>
      </c>
      <c r="H29" s="5" t="inlineStr">
        <is>
          <t>Standard</t>
        </is>
      </c>
    </row>
    <row r="30">
      <c r="A30" s="5" t="inlineStr">
        <is>
          <t>CMD1011</t>
        </is>
      </c>
      <c r="B30" s="5" t="inlineStr">
        <is>
          <t>15-Jan-2024</t>
        </is>
      </c>
      <c r="C30" s="5" t="inlineStr">
        <is>
          <t>webcam hd 1080p</t>
        </is>
      </c>
      <c r="D30" s="5" t="n">
        <v>3</v>
      </c>
      <c r="E30" s="5" t="n">
        <v>1238.13</v>
      </c>
      <c r="F30" s="5" t="inlineStr">
        <is>
          <t>Client_025</t>
        </is>
      </c>
      <c r="G30" s="5" t="inlineStr">
        <is>
          <t>En cours</t>
        </is>
      </c>
      <c r="H30" s="5" t="inlineStr"/>
    </row>
    <row r="31">
      <c r="A31" s="5" t="inlineStr">
        <is>
          <t>CMD1012</t>
        </is>
      </c>
      <c r="B31" s="5" t="inlineStr">
        <is>
          <t>15/01/2024</t>
        </is>
      </c>
      <c r="C31" s="5" t="inlineStr">
        <is>
          <t>ÉCRAN DELL 24"</t>
        </is>
      </c>
      <c r="D31" s="5" t="n">
        <v>19</v>
      </c>
      <c r="E31" s="5" t="n">
        <v>1128.92</v>
      </c>
      <c r="F31" s="5" t="inlineStr">
        <is>
          <t>Client_027</t>
        </is>
      </c>
      <c r="G31" s="5" t="inlineStr">
        <is>
          <t>livré</t>
        </is>
      </c>
      <c r="H31" s="5" t="inlineStr"/>
    </row>
    <row r="32">
      <c r="A32" s="5" t="inlineStr">
        <is>
          <t>CMD1013</t>
        </is>
      </c>
      <c r="B32" s="5" t="inlineStr">
        <is>
          <t>01-15-24</t>
        </is>
      </c>
      <c r="C32" s="5" t="inlineStr">
        <is>
          <t>Routeur WiFi 6</t>
        </is>
      </c>
      <c r="D32" s="5" t="n">
        <v>28</v>
      </c>
      <c r="E32" s="5" t="n">
        <v>1733.29</v>
      </c>
      <c r="F32" s="5" t="inlineStr">
        <is>
          <t>Client_042</t>
        </is>
      </c>
      <c r="G32" s="5" t="inlineStr">
        <is>
          <t>En cours</t>
        </is>
      </c>
      <c r="H32" s="5" t="inlineStr"/>
    </row>
    <row r="33">
      <c r="A33" s="5" t="inlineStr">
        <is>
          <t>CMD1014</t>
        </is>
      </c>
      <c r="B33" s="5" t="inlineStr">
        <is>
          <t>01-15-24</t>
        </is>
      </c>
      <c r="C33" s="5" t="inlineStr">
        <is>
          <t>Clavier Mécanique RGB</t>
        </is>
      </c>
      <c r="D33" s="5" t="n">
        <v>10</v>
      </c>
      <c r="E33" s="5" t="n">
        <v>1385.37</v>
      </c>
      <c r="F33" s="5" t="inlineStr">
        <is>
          <t>Client_026</t>
        </is>
      </c>
      <c r="G33" s="5" t="inlineStr">
        <is>
          <t>valide</t>
        </is>
      </c>
      <c r="H33" s="5" t="inlineStr"/>
    </row>
    <row r="34">
      <c r="A34" s="5" t="inlineStr">
        <is>
          <t>CMD1015</t>
        </is>
      </c>
      <c r="B34" s="5" t="inlineStr">
        <is>
          <t>2024.01.15</t>
        </is>
      </c>
      <c r="C34" s="5" t="inlineStr">
        <is>
          <t xml:space="preserve">  Switch 24 ports </t>
        </is>
      </c>
      <c r="D34" s="5" t="n">
        <v>19</v>
      </c>
      <c r="E34" s="5" t="inlineStr">
        <is>
          <t>€409.32</t>
        </is>
      </c>
      <c r="F34" s="5" t="inlineStr">
        <is>
          <t>Client_001</t>
        </is>
      </c>
      <c r="G34" s="5" t="inlineStr">
        <is>
          <t>valide</t>
        </is>
      </c>
      <c r="H34" s="5" t="inlineStr"/>
    </row>
    <row r="35">
      <c r="A35" s="5" t="inlineStr">
        <is>
          <t>CMD1016</t>
        </is>
      </c>
      <c r="B35" s="5" t="inlineStr">
        <is>
          <t>01-15-24</t>
        </is>
      </c>
      <c r="C35" s="5" t="inlineStr">
        <is>
          <t>imprimante laser</t>
        </is>
      </c>
      <c r="D35" s="5" t="n">
        <v>11</v>
      </c>
      <c r="E35" s="5" t="n">
        <v>491.4</v>
      </c>
      <c r="F35" s="5" t="inlineStr">
        <is>
          <t xml:space="preserve">  Client_049</t>
        </is>
      </c>
      <c r="G35" s="5" t="inlineStr">
        <is>
          <t>en_cours</t>
        </is>
      </c>
      <c r="H35" s="5" t="inlineStr"/>
    </row>
    <row r="36">
      <c r="A36" s="5" t="inlineStr">
        <is>
          <t>CMD1017</t>
        </is>
      </c>
      <c r="B36" s="5" t="inlineStr">
        <is>
          <t>01-15-24</t>
        </is>
      </c>
      <c r="C36" s="5" t="inlineStr">
        <is>
          <t>SCANNER PRO A4</t>
        </is>
      </c>
      <c r="D36" s="5" t="n">
        <v>22</v>
      </c>
      <c r="E36" s="5" t="n">
        <v>2386.46</v>
      </c>
      <c r="F36" s="5" t="inlineStr">
        <is>
          <t xml:space="preserve">Client_026  </t>
        </is>
      </c>
      <c r="G36" s="5" t="inlineStr">
        <is>
          <t>VALIDE</t>
        </is>
      </c>
      <c r="H36" s="5" t="inlineStr"/>
    </row>
    <row r="37">
      <c r="A37" s="5" t="inlineStr">
        <is>
          <t>CMD1018</t>
        </is>
      </c>
      <c r="B37" s="5" t="inlineStr">
        <is>
          <t>2024.01.15</t>
        </is>
      </c>
      <c r="C37" s="5" t="inlineStr">
        <is>
          <t>Souris Logitech MX</t>
        </is>
      </c>
      <c r="D37" s="5" t="n">
        <v>7</v>
      </c>
      <c r="E37" s="5" t="n">
        <v>1315.41</v>
      </c>
      <c r="F37" s="5" t="inlineStr">
        <is>
          <t>Client_022</t>
        </is>
      </c>
      <c r="G37" s="5" t="inlineStr">
        <is>
          <t>VALIDE</t>
        </is>
      </c>
      <c r="H37" s="5" t="inlineStr"/>
    </row>
    <row r="38">
      <c r="A38" s="5" t="inlineStr">
        <is>
          <t>CMD1019</t>
        </is>
      </c>
      <c r="B38" s="5" t="inlineStr">
        <is>
          <t>15/01/2024</t>
        </is>
      </c>
      <c r="C38" s="5" t="inlineStr">
        <is>
          <t>Webcam HD 1080p</t>
        </is>
      </c>
      <c r="D38" s="5" t="n">
        <v>42</v>
      </c>
      <c r="E38" s="5" t="n">
        <v>2377.13</v>
      </c>
      <c r="F38" s="5" t="inlineStr">
        <is>
          <t>Client_009</t>
        </is>
      </c>
      <c r="G38" s="5" t="inlineStr">
        <is>
          <t>En cours</t>
        </is>
      </c>
      <c r="H38" s="5" t="inlineStr"/>
    </row>
    <row r="39">
      <c r="A39" s="5" t="inlineStr">
        <is>
          <t>CMD1020</t>
        </is>
      </c>
      <c r="B39" s="5" t="inlineStr">
        <is>
          <t>2024.01.15</t>
        </is>
      </c>
      <c r="C39" s="5" t="inlineStr">
        <is>
          <t xml:space="preserve">  Routeur WiFi 6 </t>
        </is>
      </c>
      <c r="D39" s="5" t="inlineStr">
        <is>
          <t>40 unités</t>
        </is>
      </c>
      <c r="E39" s="5" t="n">
        <v>978.6900000000001</v>
      </c>
      <c r="F39" s="5" t="inlineStr">
        <is>
          <t>Client_046</t>
        </is>
      </c>
      <c r="G39" s="5" t="inlineStr">
        <is>
          <t>Livré</t>
        </is>
      </c>
      <c r="H39" s="5" t="inlineStr">
        <is>
          <t>Prioritaire</t>
        </is>
      </c>
    </row>
    <row r="40">
      <c r="A40" s="5" t="inlineStr">
        <is>
          <t>CMD1021</t>
        </is>
      </c>
      <c r="B40" s="5" t="inlineStr">
        <is>
          <t>01-15-24</t>
        </is>
      </c>
      <c r="C40" s="5" t="inlineStr">
        <is>
          <t>switch 24 ports</t>
        </is>
      </c>
      <c r="D40" s="5" t="n">
        <v>12</v>
      </c>
      <c r="E40" s="5" t="n">
        <v>1858.93</v>
      </c>
      <c r="F40" s="5" t="inlineStr">
        <is>
          <t>Client_001</t>
        </is>
      </c>
      <c r="G40" s="5" t="inlineStr">
        <is>
          <t>Livré</t>
        </is>
      </c>
      <c r="H40" s="5" t="inlineStr"/>
    </row>
    <row r="41">
      <c r="A41" s="5" t="inlineStr">
        <is>
          <t>CMD1022</t>
        </is>
      </c>
      <c r="B41" s="5" t="inlineStr">
        <is>
          <t>2024.01.15</t>
        </is>
      </c>
      <c r="C41" s="5" t="inlineStr">
        <is>
          <t>ÉCRAN DELL 24"</t>
        </is>
      </c>
      <c r="D41" s="5" t="n">
        <v>39</v>
      </c>
      <c r="E41" s="5" t="n">
        <v>2145.31</v>
      </c>
      <c r="F41" s="5" t="inlineStr">
        <is>
          <t>Client_018</t>
        </is>
      </c>
      <c r="G41" s="5" t="inlineStr">
        <is>
          <t>Livré</t>
        </is>
      </c>
      <c r="H41" s="5" t="inlineStr"/>
    </row>
    <row r="42">
      <c r="A42" s="5" t="inlineStr">
        <is>
          <t>CMD1023</t>
        </is>
      </c>
      <c r="B42" s="5" t="inlineStr">
        <is>
          <t>2024-01-15</t>
        </is>
      </c>
      <c r="C42" s="5" t="inlineStr">
        <is>
          <t>Souris Logitech MX</t>
        </is>
      </c>
      <c r="D42" s="5" t="n">
        <v>10</v>
      </c>
      <c r="E42" s="5" t="n">
        <v>2874.35</v>
      </c>
      <c r="F42" s="5" t="inlineStr">
        <is>
          <t>Client_031</t>
        </is>
      </c>
      <c r="G42" s="5" t="inlineStr">
        <is>
          <t>Livré</t>
        </is>
      </c>
      <c r="H42" s="5" t="inlineStr"/>
    </row>
    <row r="43">
      <c r="A43" s="5" t="inlineStr">
        <is>
          <t>CMD1024</t>
        </is>
      </c>
      <c r="B43" s="5" t="inlineStr">
        <is>
          <t>15-Jan-2024</t>
        </is>
      </c>
      <c r="C43" s="5" t="inlineStr">
        <is>
          <t>Laptop HP ProBook</t>
        </is>
      </c>
      <c r="D43" s="5" t="n">
        <v>11</v>
      </c>
      <c r="E43" s="5" t="n">
        <v>2234.5</v>
      </c>
      <c r="F43" s="5" t="inlineStr">
        <is>
          <t xml:space="preserve">  Client_037</t>
        </is>
      </c>
      <c r="G43" s="5" t="inlineStr">
        <is>
          <t>Validé</t>
        </is>
      </c>
      <c r="H43" s="5" t="inlineStr"/>
    </row>
    <row r="44">
      <c r="A44" s="5" t="inlineStr">
        <is>
          <t>CMD1025</t>
        </is>
      </c>
      <c r="B44" s="5" t="inlineStr">
        <is>
          <t>2024.01.15</t>
        </is>
      </c>
      <c r="C44" s="5" t="inlineStr">
        <is>
          <t xml:space="preserve">  Switch 24 ports </t>
        </is>
      </c>
      <c r="D44" s="5" t="n">
        <v>32</v>
      </c>
      <c r="E44" s="5" t="n">
        <v>800.26</v>
      </c>
      <c r="F44" s="5" t="inlineStr">
        <is>
          <t xml:space="preserve">Client_026  </t>
        </is>
      </c>
      <c r="G44" s="5" t="inlineStr">
        <is>
          <t>VALIDE</t>
        </is>
      </c>
      <c r="H44" s="5" t="inlineStr"/>
    </row>
    <row r="45">
      <c r="A45" s="5" t="inlineStr">
        <is>
          <t>CMD1026</t>
        </is>
      </c>
      <c r="B45" s="5" t="inlineStr">
        <is>
          <t>15-Jan-2024</t>
        </is>
      </c>
      <c r="C45" s="5" t="inlineStr">
        <is>
          <t>casque audio pro</t>
        </is>
      </c>
      <c r="D45" s="5" t="n">
        <v>50</v>
      </c>
      <c r="E45" s="5" t="n">
        <v>2226.44</v>
      </c>
      <c r="F45" s="5" t="inlineStr">
        <is>
          <t>Client_031</t>
        </is>
      </c>
      <c r="G45" s="5" t="inlineStr">
        <is>
          <t>Livré</t>
        </is>
      </c>
      <c r="H45" s="5" t="inlineStr"/>
    </row>
    <row r="46">
      <c r="A46" s="5" t="inlineStr">
        <is>
          <t>CMD1027</t>
        </is>
      </c>
      <c r="B46" s="5" t="inlineStr">
        <is>
          <t>2024.01.15</t>
        </is>
      </c>
      <c r="C46" s="5" t="inlineStr">
        <is>
          <t>ÉCRAN DELL 24"</t>
        </is>
      </c>
      <c r="D46" s="5" t="n">
        <v>17</v>
      </c>
      <c r="E46" s="5" t="n">
        <v>806.4</v>
      </c>
      <c r="F46" s="5" t="inlineStr">
        <is>
          <t>Client_037</t>
        </is>
      </c>
      <c r="G46" s="5" t="inlineStr">
        <is>
          <t>Livré</t>
        </is>
      </c>
      <c r="H46" s="5" t="inlineStr"/>
    </row>
    <row r="47">
      <c r="A47" s="5" t="inlineStr">
        <is>
          <t>CMD1028</t>
        </is>
      </c>
      <c r="B47" s="5" t="inlineStr">
        <is>
          <t>15/01/2024</t>
        </is>
      </c>
      <c r="C47" s="5" t="inlineStr">
        <is>
          <t>Casque Audio Pro</t>
        </is>
      </c>
      <c r="D47" s="5" t="n">
        <v>33</v>
      </c>
      <c r="E47" s="5" t="n">
        <v>358.16</v>
      </c>
      <c r="F47" s="5" t="inlineStr">
        <is>
          <t>Client_010</t>
        </is>
      </c>
      <c r="G47" s="5" t="inlineStr">
        <is>
          <t>En cours</t>
        </is>
      </c>
      <c r="H47" s="5" t="inlineStr"/>
    </row>
    <row r="48">
      <c r="A48" s="5" t="inlineStr">
        <is>
          <t>CMD1029</t>
        </is>
      </c>
      <c r="B48" s="5" t="inlineStr">
        <is>
          <t>2024.01.15</t>
        </is>
      </c>
      <c r="C48" s="5" t="inlineStr">
        <is>
          <t>Casque Audio Pro</t>
        </is>
      </c>
      <c r="D48" s="5" t="n">
        <v>16</v>
      </c>
      <c r="E48" s="5" t="n">
        <v>1301.08</v>
      </c>
      <c r="F48" s="5" t="inlineStr">
        <is>
          <t>Client_005</t>
        </is>
      </c>
      <c r="G48" s="5" t="inlineStr">
        <is>
          <t>Livré</t>
        </is>
      </c>
      <c r="H48" s="5" t="inlineStr"/>
    </row>
    <row r="49">
      <c r="A49" s="5" t="inlineStr">
        <is>
          <t>CMD1030</t>
        </is>
      </c>
      <c r="B49" s="5" t="inlineStr">
        <is>
          <t>2024.01.15</t>
        </is>
      </c>
      <c r="C49" s="5" t="inlineStr">
        <is>
          <t xml:space="preserve">  Imprimante Laser </t>
        </is>
      </c>
      <c r="D49" s="5" t="n">
        <v>28</v>
      </c>
      <c r="E49" s="5" t="inlineStr">
        <is>
          <t>€408.74</t>
        </is>
      </c>
      <c r="F49" s="5" t="inlineStr">
        <is>
          <t>Client_017</t>
        </is>
      </c>
      <c r="G49" s="5" t="inlineStr">
        <is>
          <t>Validé</t>
        </is>
      </c>
      <c r="H49" s="5" t="inlineStr">
        <is>
          <t>Prioritaire</t>
        </is>
      </c>
    </row>
    <row r="50">
      <c r="A50" s="5" t="inlineStr">
        <is>
          <t>CMD1031</t>
        </is>
      </c>
      <c r="B50" s="5" t="inlineStr">
        <is>
          <t>15/01/2024</t>
        </is>
      </c>
      <c r="C50" s="5" t="inlineStr">
        <is>
          <t>scanner pro a4</t>
        </is>
      </c>
      <c r="D50" s="5" t="n">
        <v>30</v>
      </c>
      <c r="E50" s="5" t="n">
        <v>1534.33</v>
      </c>
      <c r="F50" s="5" t="inlineStr">
        <is>
          <t>Client_031</t>
        </is>
      </c>
      <c r="G50" s="5" t="inlineStr">
        <is>
          <t>VALIDE</t>
        </is>
      </c>
      <c r="H50" s="5" t="inlineStr"/>
    </row>
    <row r="51">
      <c r="A51" s="5" t="inlineStr">
        <is>
          <t>CMD1032</t>
        </is>
      </c>
      <c r="B51" s="5" t="inlineStr">
        <is>
          <t>2024.01.15</t>
        </is>
      </c>
      <c r="C51" s="5" t="inlineStr">
        <is>
          <t>IMPRIMANTE LASER</t>
        </is>
      </c>
      <c r="D51" s="5" t="n">
        <v>48</v>
      </c>
      <c r="E51" s="5" t="n">
        <v>737.88</v>
      </c>
      <c r="F51" s="5" t="inlineStr">
        <is>
          <t xml:space="preserve">  Client_018</t>
        </is>
      </c>
      <c r="G51" s="5" t="inlineStr">
        <is>
          <t>en_cours</t>
        </is>
      </c>
      <c r="H51" s="5" t="inlineStr"/>
    </row>
    <row r="52">
      <c r="A52" s="5" t="inlineStr">
        <is>
          <t>CMD1033</t>
        </is>
      </c>
      <c r="B52" s="5" t="inlineStr">
        <is>
          <t>15/01/2024</t>
        </is>
      </c>
      <c r="C52" s="5" t="inlineStr">
        <is>
          <t>Switch 24 ports</t>
        </is>
      </c>
      <c r="D52" s="5" t="n">
        <v>19</v>
      </c>
      <c r="E52" s="5" t="n">
        <v>2706.12</v>
      </c>
      <c r="F52" s="5" t="inlineStr">
        <is>
          <t xml:space="preserve">Client_045  </t>
        </is>
      </c>
      <c r="G52" s="5" t="inlineStr">
        <is>
          <t>Validé</t>
        </is>
      </c>
      <c r="H52" s="5" t="inlineStr"/>
    </row>
    <row r="53">
      <c r="A53" s="5" t="inlineStr">
        <is>
          <t>CMD1034</t>
        </is>
      </c>
      <c r="B53" s="5" t="inlineStr">
        <is>
          <t>2024.01.15</t>
        </is>
      </c>
      <c r="C53" s="5" t="inlineStr">
        <is>
          <t>Écran DELL 24"</t>
        </is>
      </c>
      <c r="D53" s="5" t="n">
        <v>36</v>
      </c>
      <c r="E53" s="5" t="n">
        <v>1502.22</v>
      </c>
      <c r="F53" s="5" t="inlineStr">
        <is>
          <t>Client_041</t>
        </is>
      </c>
      <c r="G53" s="5" t="inlineStr">
        <is>
          <t>en_cours</t>
        </is>
      </c>
      <c r="H53" s="5" t="inlineStr"/>
    </row>
    <row r="54">
      <c r="A54" s="5" t="inlineStr">
        <is>
          <t>CMD1035</t>
        </is>
      </c>
      <c r="B54" s="5" t="inlineStr">
        <is>
          <t>2024.01.15</t>
        </is>
      </c>
      <c r="C54" s="5" t="inlineStr">
        <is>
          <t xml:space="preserve">  Casque Audio Pro </t>
        </is>
      </c>
      <c r="D54" s="5" t="n">
        <v>9</v>
      </c>
      <c r="E54" s="5" t="n">
        <v>864.4299999999999</v>
      </c>
      <c r="F54" s="5" t="inlineStr">
        <is>
          <t>Client_030</t>
        </is>
      </c>
      <c r="G54" s="5" t="inlineStr">
        <is>
          <t>Livré</t>
        </is>
      </c>
      <c r="H54" s="5" t="inlineStr"/>
    </row>
    <row r="55">
      <c r="A55" s="5" t="inlineStr">
        <is>
          <t>CMD1036</t>
        </is>
      </c>
      <c r="B55" s="5" t="inlineStr">
        <is>
          <t>15/01/2024</t>
        </is>
      </c>
      <c r="C55" s="5" t="inlineStr">
        <is>
          <t>tablette graphique</t>
        </is>
      </c>
      <c r="D55" s="5" t="n">
        <v>34</v>
      </c>
      <c r="E55" s="5" t="n">
        <v>2000.83</v>
      </c>
      <c r="F55" s="5" t="inlineStr">
        <is>
          <t>Client_047</t>
        </is>
      </c>
      <c r="G55" s="5" t="inlineStr">
        <is>
          <t>en_cours</t>
        </is>
      </c>
      <c r="H55" s="5" t="inlineStr"/>
    </row>
    <row r="56">
      <c r="A56" s="5" t="inlineStr">
        <is>
          <t>CMD1037</t>
        </is>
      </c>
      <c r="B56" s="5" t="inlineStr">
        <is>
          <t>15-Jan-2024</t>
        </is>
      </c>
      <c r="C56" s="5" t="inlineStr">
        <is>
          <t>ÉCRAN DELL 24"</t>
        </is>
      </c>
      <c r="D56" s="5" t="n">
        <v>9</v>
      </c>
      <c r="E56" s="5" t="n">
        <v>736.77</v>
      </c>
      <c r="F56" s="5" t="inlineStr">
        <is>
          <t>Client_007</t>
        </is>
      </c>
      <c r="G56" s="5" t="inlineStr">
        <is>
          <t>Validé</t>
        </is>
      </c>
      <c r="H56" s="5" t="inlineStr"/>
    </row>
    <row r="57">
      <c r="A57" s="5" t="inlineStr">
        <is>
          <t>CMD1038</t>
        </is>
      </c>
      <c r="B57" s="5" t="inlineStr">
        <is>
          <t>15-Jan-2024</t>
        </is>
      </c>
      <c r="C57" s="5" t="inlineStr">
        <is>
          <t>Laptop HP ProBook</t>
        </is>
      </c>
      <c r="D57" s="5" t="n">
        <v>26</v>
      </c>
      <c r="E57" s="5" t="n">
        <v>1879.57</v>
      </c>
      <c r="F57" s="5" t="inlineStr">
        <is>
          <t>Client_041</t>
        </is>
      </c>
      <c r="G57" s="5" t="inlineStr">
        <is>
          <t>En cours</t>
        </is>
      </c>
      <c r="H57" s="5" t="inlineStr"/>
    </row>
    <row r="58">
      <c r="A58" s="5" t="inlineStr">
        <is>
          <t>CMD1039</t>
        </is>
      </c>
      <c r="B58" s="5" t="inlineStr">
        <is>
          <t>2024.01.15</t>
        </is>
      </c>
      <c r="C58" s="5" t="inlineStr">
        <is>
          <t>Clavier Mécanique RGB</t>
        </is>
      </c>
      <c r="D58" s="5" t="n">
        <v>38</v>
      </c>
      <c r="E58" s="5" t="n">
        <v>1289.25</v>
      </c>
      <c r="F58" s="5" t="inlineStr">
        <is>
          <t>Client_040</t>
        </is>
      </c>
      <c r="G58" s="5" t="inlineStr">
        <is>
          <t>Validé</t>
        </is>
      </c>
      <c r="H58" s="5" t="inlineStr"/>
    </row>
    <row r="59">
      <c r="A59" s="5" t="inlineStr">
        <is>
          <t>CMD1040</t>
        </is>
      </c>
      <c r="B59" s="5" t="inlineStr">
        <is>
          <t>2024.01.15</t>
        </is>
      </c>
      <c r="C59" s="5" t="inlineStr">
        <is>
          <t xml:space="preserve">  Scanner Pro A4 </t>
        </is>
      </c>
      <c r="D59" s="5" t="inlineStr">
        <is>
          <t>36 unités</t>
        </is>
      </c>
      <c r="E59" s="5" t="n">
        <v>1218.71</v>
      </c>
      <c r="F59" s="5" t="inlineStr">
        <is>
          <t xml:space="preserve">  Client_009</t>
        </is>
      </c>
      <c r="G59" s="5" t="inlineStr">
        <is>
          <t>valide</t>
        </is>
      </c>
      <c r="H59" s="5" t="inlineStr">
        <is>
          <t>Prioritaire</t>
        </is>
      </c>
    </row>
    <row r="60">
      <c r="A60" s="5" t="inlineStr">
        <is>
          <t>CMD1041</t>
        </is>
      </c>
      <c r="B60" s="5" t="inlineStr">
        <is>
          <t>15/01/2024</t>
        </is>
      </c>
      <c r="C60" s="5" t="inlineStr">
        <is>
          <t>écran dell 24"</t>
        </is>
      </c>
      <c r="D60" s="5" t="n">
        <v>36</v>
      </c>
      <c r="E60" s="5" t="n">
        <v>1305.21</v>
      </c>
      <c r="F60" s="5" t="inlineStr">
        <is>
          <t xml:space="preserve">Client_042  </t>
        </is>
      </c>
      <c r="G60" s="5" t="inlineStr">
        <is>
          <t>en_cours</t>
        </is>
      </c>
      <c r="H60" s="5" t="inlineStr"/>
    </row>
    <row r="61">
      <c r="A61" s="5" t="inlineStr">
        <is>
          <t>CMD1042</t>
        </is>
      </c>
      <c r="B61" s="5" t="inlineStr">
        <is>
          <t>01-15-24</t>
        </is>
      </c>
      <c r="C61" s="5" t="inlineStr">
        <is>
          <t>CLAVIER MÉCANIQUE RGB</t>
        </is>
      </c>
      <c r="D61" s="5" t="n">
        <v>29</v>
      </c>
      <c r="E61" s="5" t="n">
        <v>1104.53</v>
      </c>
      <c r="F61" s="5" t="inlineStr">
        <is>
          <t>Client_012</t>
        </is>
      </c>
      <c r="G61" s="5" t="inlineStr">
        <is>
          <t>valide</t>
        </is>
      </c>
      <c r="H61" s="5" t="inlineStr"/>
    </row>
    <row r="62">
      <c r="A62" s="5" t="inlineStr">
        <is>
          <t>CMD1043</t>
        </is>
      </c>
      <c r="B62" s="5" t="inlineStr">
        <is>
          <t>01-15-24</t>
        </is>
      </c>
      <c r="C62" s="5" t="inlineStr">
        <is>
          <t>Imprimante Laser</t>
        </is>
      </c>
      <c r="D62" s="5" t="n">
        <v>16</v>
      </c>
      <c r="E62" s="5" t="n">
        <v>691.26</v>
      </c>
      <c r="F62" s="5" t="inlineStr">
        <is>
          <t>Client_045</t>
        </is>
      </c>
      <c r="G62" s="5" t="inlineStr">
        <is>
          <t>Livré</t>
        </is>
      </c>
      <c r="H62" s="5" t="inlineStr"/>
    </row>
    <row r="63">
      <c r="A63" s="5" t="inlineStr">
        <is>
          <t>CMD1044</t>
        </is>
      </c>
      <c r="B63" s="5" t="inlineStr">
        <is>
          <t>2024-01-15</t>
        </is>
      </c>
      <c r="C63" s="5" t="inlineStr">
        <is>
          <t>Switch 24 ports</t>
        </is>
      </c>
      <c r="D63" s="5" t="n">
        <v>16</v>
      </c>
      <c r="E63" s="5" t="n">
        <v>911.6900000000001</v>
      </c>
      <c r="F63" s="5" t="inlineStr">
        <is>
          <t>Client_033</t>
        </is>
      </c>
      <c r="G63" s="5" t="inlineStr">
        <is>
          <t>EN COURS</t>
        </is>
      </c>
      <c r="H63" s="5" t="inlineStr"/>
    </row>
    <row r="64">
      <c r="A64" s="5" t="inlineStr">
        <is>
          <t>CMD1045</t>
        </is>
      </c>
      <c r="B64" s="5" t="inlineStr">
        <is>
          <t>2024.01.15</t>
        </is>
      </c>
      <c r="C64" s="5" t="inlineStr">
        <is>
          <t xml:space="preserve">  Scanner Pro A4 </t>
        </is>
      </c>
      <c r="D64" s="5" t="n">
        <v>48</v>
      </c>
      <c r="E64" s="5" t="inlineStr">
        <is>
          <t>€590.21</t>
        </is>
      </c>
      <c r="F64" s="5" t="inlineStr">
        <is>
          <t>Client_001</t>
        </is>
      </c>
      <c r="G64" s="5" t="inlineStr">
        <is>
          <t>Validé</t>
        </is>
      </c>
      <c r="H64" s="5" t="inlineStr"/>
    </row>
    <row r="65">
      <c r="A65" s="5" t="inlineStr">
        <is>
          <t>CMD1046</t>
        </is>
      </c>
      <c r="B65" s="5" t="inlineStr">
        <is>
          <t>2024-01-15</t>
        </is>
      </c>
      <c r="C65" s="5" t="inlineStr">
        <is>
          <t>écran dell 24"</t>
        </is>
      </c>
      <c r="D65" s="5" t="n">
        <v>43</v>
      </c>
      <c r="E65" s="5" t="n">
        <v>400.42</v>
      </c>
      <c r="F65" s="5" t="inlineStr">
        <is>
          <t>Client_002</t>
        </is>
      </c>
      <c r="G65" s="5" t="inlineStr">
        <is>
          <t>Livré</t>
        </is>
      </c>
      <c r="H65" s="5" t="inlineStr"/>
    </row>
    <row r="66">
      <c r="A66" s="5" t="inlineStr">
        <is>
          <t>CMD1047</t>
        </is>
      </c>
      <c r="B66" s="5" t="inlineStr">
        <is>
          <t>2024-01-15</t>
        </is>
      </c>
      <c r="C66" s="5" t="inlineStr">
        <is>
          <t>LAPTOP HP PROBOOK</t>
        </is>
      </c>
      <c r="D66" s="5" t="n">
        <v>22</v>
      </c>
      <c r="E66" s="5" t="n">
        <v>661.25</v>
      </c>
      <c r="F66" s="5" t="inlineStr">
        <is>
          <t>Client_008</t>
        </is>
      </c>
      <c r="G66" s="5" t="inlineStr">
        <is>
          <t>valide</t>
        </is>
      </c>
      <c r="H66" s="5" t="inlineStr"/>
    </row>
    <row r="67">
      <c r="A67" s="5" t="inlineStr">
        <is>
          <t>CMD1048</t>
        </is>
      </c>
      <c r="B67" s="5" t="inlineStr">
        <is>
          <t>2024.01.15</t>
        </is>
      </c>
      <c r="C67" s="5" t="inlineStr">
        <is>
          <t>Scanner Pro A4</t>
        </is>
      </c>
      <c r="D67" s="5" t="n">
        <v>43</v>
      </c>
      <c r="E67" s="5" t="n">
        <v>220.53</v>
      </c>
      <c r="F67" s="5" t="inlineStr">
        <is>
          <t xml:space="preserve">  Client_033</t>
        </is>
      </c>
      <c r="G67" s="5" t="inlineStr">
        <is>
          <t>En cours</t>
        </is>
      </c>
      <c r="H67" s="5" t="inlineStr"/>
    </row>
    <row r="68">
      <c r="A68" s="5" t="inlineStr">
        <is>
          <t>CMD1049</t>
        </is>
      </c>
      <c r="B68" s="5" t="inlineStr">
        <is>
          <t>15-Jan-2024</t>
        </is>
      </c>
      <c r="C68" s="5" t="inlineStr">
        <is>
          <t>Souris Logitech MX</t>
        </is>
      </c>
      <c r="D68" s="5" t="n">
        <v>35</v>
      </c>
      <c r="E68" s="5" t="n">
        <v>1257.81</v>
      </c>
      <c r="F68" s="5" t="inlineStr">
        <is>
          <t xml:space="preserve">Client_025  </t>
        </is>
      </c>
      <c r="G68" s="5" t="inlineStr">
        <is>
          <t>En cours</t>
        </is>
      </c>
      <c r="H68" s="5" t="inlineStr"/>
    </row>
    <row r="69">
      <c r="A69" s="5" t="inlineStr">
        <is>
          <t>CMD1050</t>
        </is>
      </c>
      <c r="B69" s="5" t="inlineStr">
        <is>
          <t>15/01/2024</t>
        </is>
      </c>
      <c r="C69" s="5" t="inlineStr">
        <is>
          <t xml:space="preserve">  Casque Audio Pro </t>
        </is>
      </c>
      <c r="D69" s="5" t="n">
        <v>37</v>
      </c>
      <c r="E69" s="5" t="n">
        <v>1077.97</v>
      </c>
      <c r="F69" s="5" t="inlineStr">
        <is>
          <t>Client_014</t>
        </is>
      </c>
      <c r="G69" s="5" t="inlineStr">
        <is>
          <t>valide</t>
        </is>
      </c>
      <c r="H69" s="5" t="inlineStr">
        <is>
          <t>Standard</t>
        </is>
      </c>
    </row>
    <row r="70">
      <c r="A70" s="5" t="inlineStr">
        <is>
          <t>CMD1051</t>
        </is>
      </c>
      <c r="B70" s="5" t="inlineStr">
        <is>
          <t>2024-01-15</t>
        </is>
      </c>
      <c r="C70" s="5" t="inlineStr">
        <is>
          <t>tablette graphique</t>
        </is>
      </c>
      <c r="D70" s="5" t="n">
        <v>25</v>
      </c>
      <c r="E70" s="5" t="n">
        <v>2314.46</v>
      </c>
      <c r="F70" s="5" t="inlineStr">
        <is>
          <t>Client_029</t>
        </is>
      </c>
      <c r="G70" s="5" t="inlineStr">
        <is>
          <t>EN COURS</t>
        </is>
      </c>
      <c r="H70" s="5" t="inlineStr"/>
    </row>
    <row r="71">
      <c r="A71" s="5" t="inlineStr">
        <is>
          <t>CMD1052</t>
        </is>
      </c>
      <c r="B71" s="5" t="inlineStr">
        <is>
          <t>2024-01-15</t>
        </is>
      </c>
      <c r="C71" s="5" t="inlineStr">
        <is>
          <t>ROUTEUR WIFI 6</t>
        </is>
      </c>
      <c r="D71" s="5" t="n">
        <v>12</v>
      </c>
      <c r="E71" s="5" t="n">
        <v>2523.68</v>
      </c>
      <c r="F71" s="5" t="inlineStr">
        <is>
          <t>Client_032</t>
        </is>
      </c>
      <c r="G71" s="5" t="inlineStr">
        <is>
          <t>VALIDE</t>
        </is>
      </c>
      <c r="H71" s="5" t="inlineStr"/>
    </row>
    <row r="72">
      <c r="A72" s="5" t="inlineStr">
        <is>
          <t>CMD1053</t>
        </is>
      </c>
      <c r="B72" s="5" t="inlineStr">
        <is>
          <t>2024.01.15</t>
        </is>
      </c>
      <c r="C72" s="5" t="inlineStr">
        <is>
          <t>Souris Logitech MX</t>
        </is>
      </c>
      <c r="D72" s="5" t="n">
        <v>21</v>
      </c>
      <c r="E72" s="5" t="n">
        <v>2894.39</v>
      </c>
      <c r="F72" s="5" t="inlineStr">
        <is>
          <t>Client_002</t>
        </is>
      </c>
      <c r="G72" s="5" t="inlineStr">
        <is>
          <t>valide</t>
        </is>
      </c>
      <c r="H72" s="5" t="inlineStr"/>
    </row>
    <row r="73">
      <c r="A73" s="5" t="inlineStr">
        <is>
          <t>CMD1054</t>
        </is>
      </c>
      <c r="B73" s="5" t="inlineStr">
        <is>
          <t>15/01/2024</t>
        </is>
      </c>
      <c r="C73" s="5" t="inlineStr">
        <is>
          <t>Souris Logitech MX</t>
        </is>
      </c>
      <c r="D73" s="5" t="n">
        <v>30</v>
      </c>
      <c r="E73" s="5" t="n">
        <v>597.21</v>
      </c>
      <c r="F73" s="5" t="inlineStr">
        <is>
          <t>Client_025</t>
        </is>
      </c>
      <c r="G73" s="5" t="inlineStr">
        <is>
          <t>en_cours</t>
        </is>
      </c>
      <c r="H73" s="5" t="inlineStr"/>
    </row>
    <row r="74">
      <c r="A74" s="5" t="inlineStr">
        <is>
          <t>CMD1055</t>
        </is>
      </c>
      <c r="B74" s="5" t="inlineStr">
        <is>
          <t>15/01/2024</t>
        </is>
      </c>
      <c r="C74" s="5" t="inlineStr">
        <is>
          <t xml:space="preserve">  Souris Logitech MX </t>
        </is>
      </c>
      <c r="D74" s="5" t="n">
        <v>45</v>
      </c>
      <c r="E74" s="5" t="n">
        <v>731.91</v>
      </c>
      <c r="F74" s="5" t="inlineStr">
        <is>
          <t>Client_028</t>
        </is>
      </c>
      <c r="G74" s="5" t="inlineStr">
        <is>
          <t>livré</t>
        </is>
      </c>
      <c r="H74" s="5" t="inlineStr"/>
    </row>
    <row r="75">
      <c r="A75" s="5" t="inlineStr">
        <is>
          <t>CMD1056</t>
        </is>
      </c>
      <c r="B75" s="5" t="inlineStr">
        <is>
          <t>2024.01.15</t>
        </is>
      </c>
      <c r="C75" s="5" t="inlineStr">
        <is>
          <t>casque audio pro</t>
        </is>
      </c>
      <c r="D75" s="5" t="n">
        <v>37</v>
      </c>
      <c r="E75" s="5" t="n">
        <v>2620.51</v>
      </c>
      <c r="F75" s="5" t="inlineStr">
        <is>
          <t xml:space="preserve">  Client_002</t>
        </is>
      </c>
      <c r="G75" s="5" t="inlineStr">
        <is>
          <t>valide</t>
        </is>
      </c>
      <c r="H75" s="5" t="inlineStr"/>
    </row>
    <row r="76">
      <c r="A76" s="5" t="inlineStr">
        <is>
          <t>CMD1057</t>
        </is>
      </c>
      <c r="B76" s="5" t="inlineStr">
        <is>
          <t>01-15-24</t>
        </is>
      </c>
      <c r="C76" s="5" t="inlineStr">
        <is>
          <t>IMPRIMANTE LASER</t>
        </is>
      </c>
      <c r="D76" s="5" t="n">
        <v>1</v>
      </c>
      <c r="E76" s="5" t="n">
        <v>2148.34</v>
      </c>
      <c r="F76" s="5" t="inlineStr">
        <is>
          <t xml:space="preserve">Client_023  </t>
        </is>
      </c>
      <c r="G76" s="5" t="inlineStr">
        <is>
          <t>EN COURS</t>
        </is>
      </c>
      <c r="H76" s="5" t="inlineStr"/>
    </row>
    <row r="77">
      <c r="A77" s="5" t="inlineStr">
        <is>
          <t>CMD1058</t>
        </is>
      </c>
      <c r="B77" s="5" t="inlineStr">
        <is>
          <t>01-15-24</t>
        </is>
      </c>
      <c r="C77" s="5" t="inlineStr">
        <is>
          <t>Imprimante Laser</t>
        </is>
      </c>
      <c r="D77" s="5" t="n">
        <v>6</v>
      </c>
      <c r="E77" s="5" t="n">
        <v>388.99</v>
      </c>
      <c r="F77" s="5" t="inlineStr">
        <is>
          <t>Client_014</t>
        </is>
      </c>
      <c r="G77" s="5" t="inlineStr">
        <is>
          <t>Livré</t>
        </is>
      </c>
      <c r="H77" s="5" t="inlineStr"/>
    </row>
    <row r="78">
      <c r="A78" s="5" t="inlineStr">
        <is>
          <t>CMD1059</t>
        </is>
      </c>
      <c r="B78" s="5" t="inlineStr">
        <is>
          <t>2024.01.15</t>
        </is>
      </c>
      <c r="C78" s="5" t="inlineStr">
        <is>
          <t>Clavier Mécanique RGB</t>
        </is>
      </c>
      <c r="D78" s="5" t="n">
        <v>4</v>
      </c>
      <c r="E78" s="5" t="n">
        <v>2670.3</v>
      </c>
      <c r="F78" s="5" t="inlineStr">
        <is>
          <t>Client_044</t>
        </is>
      </c>
      <c r="G78" s="5" t="inlineStr">
        <is>
          <t>Livré</t>
        </is>
      </c>
      <c r="H78" s="5" t="inlineStr"/>
    </row>
    <row r="79">
      <c r="A79" s="5" t="inlineStr">
        <is>
          <t>CMD1060</t>
        </is>
      </c>
      <c r="B79" s="5" t="inlineStr">
        <is>
          <t>01-15-24</t>
        </is>
      </c>
      <c r="C79" s="5" t="inlineStr">
        <is>
          <t xml:space="preserve">  Disque SSD 1To </t>
        </is>
      </c>
      <c r="D79" s="5" t="inlineStr">
        <is>
          <t>30 unités</t>
        </is>
      </c>
      <c r="E79" s="5" t="inlineStr">
        <is>
          <t>€2499.46</t>
        </is>
      </c>
      <c r="F79" s="5" t="inlineStr">
        <is>
          <t>Client_008</t>
        </is>
      </c>
      <c r="G79" s="5" t="inlineStr">
        <is>
          <t>En cours</t>
        </is>
      </c>
      <c r="H79" s="5" t="inlineStr">
        <is>
          <t>Standard</t>
        </is>
      </c>
    </row>
    <row r="80">
      <c r="A80" s="5" t="inlineStr">
        <is>
          <t>CMD1061</t>
        </is>
      </c>
      <c r="B80" s="5" t="inlineStr">
        <is>
          <t>2024.01.15</t>
        </is>
      </c>
      <c r="C80" s="5" t="inlineStr">
        <is>
          <t>écran dell 24"</t>
        </is>
      </c>
      <c r="D80" s="5" t="n">
        <v>43</v>
      </c>
      <c r="E80" s="5" t="n">
        <v>1440.47</v>
      </c>
      <c r="F80" s="5" t="inlineStr">
        <is>
          <t>Client_004</t>
        </is>
      </c>
      <c r="G80" s="5" t="inlineStr">
        <is>
          <t>EN COURS</t>
        </is>
      </c>
      <c r="H80" s="5" t="inlineStr"/>
    </row>
    <row r="81">
      <c r="A81" s="5" t="inlineStr">
        <is>
          <t>CMD1062</t>
        </is>
      </c>
      <c r="B81" s="5" t="inlineStr">
        <is>
          <t>15/01/2024</t>
        </is>
      </c>
      <c r="C81" s="5" t="inlineStr">
        <is>
          <t>SCANNER PRO A4</t>
        </is>
      </c>
      <c r="D81" s="5" t="n">
        <v>3</v>
      </c>
      <c r="E81" s="5" t="n">
        <v>2897</v>
      </c>
      <c r="F81" s="5" t="inlineStr">
        <is>
          <t>Client_017</t>
        </is>
      </c>
      <c r="G81" s="5" t="inlineStr">
        <is>
          <t>VALIDE</t>
        </is>
      </c>
      <c r="H81" s="5" t="inlineStr"/>
    </row>
    <row r="82">
      <c r="A82" s="5" t="inlineStr">
        <is>
          <t>CMD1063</t>
        </is>
      </c>
      <c r="B82" s="5" t="inlineStr">
        <is>
          <t>01-15-24</t>
        </is>
      </c>
      <c r="C82" s="5" t="inlineStr">
        <is>
          <t>Disque SSD 1To</t>
        </is>
      </c>
      <c r="D82" s="5" t="n">
        <v>10</v>
      </c>
      <c r="E82" s="5" t="n">
        <v>2342.5</v>
      </c>
      <c r="F82" s="5" t="inlineStr">
        <is>
          <t>Client_045</t>
        </is>
      </c>
      <c r="G82" s="5" t="inlineStr">
        <is>
          <t>Livré</t>
        </is>
      </c>
      <c r="H82" s="5" t="inlineStr"/>
    </row>
    <row r="83">
      <c r="A83" s="5" t="inlineStr">
        <is>
          <t>CMD1064</t>
        </is>
      </c>
      <c r="B83" s="5" t="inlineStr">
        <is>
          <t>2024-01-15</t>
        </is>
      </c>
      <c r="C83" s="5" t="inlineStr">
        <is>
          <t>Casque Audio Pro</t>
        </is>
      </c>
      <c r="D83" s="5" t="n">
        <v>18</v>
      </c>
      <c r="E83" s="5" t="n">
        <v>670.91</v>
      </c>
      <c r="F83" s="5" t="inlineStr">
        <is>
          <t xml:space="preserve">  Client_005</t>
        </is>
      </c>
      <c r="G83" s="5" t="inlineStr">
        <is>
          <t>Validé</t>
        </is>
      </c>
      <c r="H83" s="5" t="inlineStr"/>
    </row>
    <row r="84">
      <c r="A84" s="5" t="inlineStr">
        <is>
          <t>CMD1065</t>
        </is>
      </c>
      <c r="B84" s="5" t="inlineStr">
        <is>
          <t>2024.01.15</t>
        </is>
      </c>
      <c r="C84" s="5" t="inlineStr">
        <is>
          <t xml:space="preserve">  Souris Logitech MX </t>
        </is>
      </c>
      <c r="D84" s="5" t="n">
        <v>4</v>
      </c>
      <c r="E84" s="5" t="n">
        <v>2933.88</v>
      </c>
      <c r="F84" s="5" t="inlineStr">
        <is>
          <t xml:space="preserve">Client_043  </t>
        </is>
      </c>
      <c r="G84" s="5" t="inlineStr">
        <is>
          <t>VALIDE</t>
        </is>
      </c>
      <c r="H84" s="5" t="inlineStr"/>
    </row>
    <row r="85">
      <c r="A85" s="5" t="inlineStr">
        <is>
          <t>CMD1066</t>
        </is>
      </c>
      <c r="B85" s="5" t="inlineStr">
        <is>
          <t>2024-01-15</t>
        </is>
      </c>
      <c r="C85" s="5" t="inlineStr">
        <is>
          <t>webcam hd 1080p</t>
        </is>
      </c>
      <c r="D85" s="5" t="n">
        <v>34</v>
      </c>
      <c r="E85" s="5" t="n">
        <v>1406.09</v>
      </c>
      <c r="F85" s="5" t="inlineStr">
        <is>
          <t>Client_049</t>
        </is>
      </c>
      <c r="G85" s="5" t="inlineStr">
        <is>
          <t>valide</t>
        </is>
      </c>
      <c r="H85" s="5" t="inlineStr"/>
    </row>
    <row r="86">
      <c r="A86" s="5" t="inlineStr">
        <is>
          <t>CMD1067</t>
        </is>
      </c>
      <c r="B86" s="5" t="inlineStr">
        <is>
          <t>2024.01.15</t>
        </is>
      </c>
      <c r="C86" s="5" t="inlineStr">
        <is>
          <t>ROUTEUR WIFI 6</t>
        </is>
      </c>
      <c r="D86" s="5" t="n">
        <v>42</v>
      </c>
      <c r="E86" s="5" t="n">
        <v>1367.66</v>
      </c>
      <c r="F86" s="5" t="inlineStr">
        <is>
          <t>Client_048</t>
        </is>
      </c>
      <c r="G86" s="5" t="inlineStr">
        <is>
          <t>valide</t>
        </is>
      </c>
      <c r="H86" s="5" t="inlineStr"/>
    </row>
    <row r="87">
      <c r="A87" s="5" t="inlineStr">
        <is>
          <t>CMD1068</t>
        </is>
      </c>
      <c r="B87" s="5" t="inlineStr">
        <is>
          <t>15-Jan-2024</t>
        </is>
      </c>
      <c r="C87" s="5" t="inlineStr">
        <is>
          <t>Laptop HP ProBook</t>
        </is>
      </c>
      <c r="D87" s="5" t="n">
        <v>48</v>
      </c>
      <c r="E87" s="5" t="n">
        <v>1228.3</v>
      </c>
      <c r="F87" s="5" t="inlineStr">
        <is>
          <t>Client_042</t>
        </is>
      </c>
      <c r="G87" s="5" t="inlineStr">
        <is>
          <t>En cours</t>
        </is>
      </c>
      <c r="H87" s="5" t="inlineStr"/>
    </row>
    <row r="88">
      <c r="A88" s="5" t="inlineStr">
        <is>
          <t>CMD1069</t>
        </is>
      </c>
      <c r="B88" s="5" t="inlineStr">
        <is>
          <t>15-Jan-2024</t>
        </is>
      </c>
      <c r="C88" s="5" t="inlineStr">
        <is>
          <t>Laptop HP ProBook</t>
        </is>
      </c>
      <c r="D88" s="5" t="n">
        <v>41</v>
      </c>
      <c r="E88" s="5" t="n">
        <v>2723.27</v>
      </c>
      <c r="F88" s="5" t="inlineStr">
        <is>
          <t>Client_016</t>
        </is>
      </c>
      <c r="G88" s="5" t="inlineStr">
        <is>
          <t>Validé</t>
        </is>
      </c>
      <c r="H88" s="5" t="inlineStr"/>
    </row>
    <row r="89">
      <c r="A89" s="5" t="inlineStr">
        <is>
          <t>CMD1070</t>
        </is>
      </c>
      <c r="B89" s="5" t="inlineStr">
        <is>
          <t>15/01/2024</t>
        </is>
      </c>
      <c r="C89" s="5" t="inlineStr">
        <is>
          <t xml:space="preserve">  Tablette Graphique </t>
        </is>
      </c>
      <c r="D89" s="5" t="n">
        <v>45</v>
      </c>
      <c r="E89" s="5" t="n">
        <v>2166.62</v>
      </c>
      <c r="F89" s="5" t="inlineStr">
        <is>
          <t>Client_033</t>
        </is>
      </c>
      <c r="G89" s="5" t="inlineStr">
        <is>
          <t>Validé</t>
        </is>
      </c>
      <c r="H89" s="5" t="inlineStr">
        <is>
          <t>Standard</t>
        </is>
      </c>
    </row>
    <row r="90">
      <c r="A90" s="5" t="inlineStr">
        <is>
          <t>CMD1071</t>
        </is>
      </c>
      <c r="B90" s="5" t="inlineStr">
        <is>
          <t>2024-01-15</t>
        </is>
      </c>
      <c r="C90" s="5" t="inlineStr">
        <is>
          <t>clavier mécanique rgb</t>
        </is>
      </c>
      <c r="D90" s="5" t="n">
        <v>19</v>
      </c>
      <c r="E90" s="5" t="n">
        <v>2123.25</v>
      </c>
      <c r="F90" s="5" t="inlineStr">
        <is>
          <t>Client_002</t>
        </is>
      </c>
      <c r="G90" s="5" t="inlineStr">
        <is>
          <t>Validé</t>
        </is>
      </c>
      <c r="H90" s="5" t="inlineStr"/>
    </row>
    <row r="91">
      <c r="A91" s="5" t="inlineStr">
        <is>
          <t>CMD1072</t>
        </is>
      </c>
      <c r="B91" s="5" t="inlineStr">
        <is>
          <t>01-15-24</t>
        </is>
      </c>
      <c r="C91" s="5" t="inlineStr">
        <is>
          <t>SWITCH 24 PORTS</t>
        </is>
      </c>
      <c r="D91" s="5" t="n">
        <v>22</v>
      </c>
      <c r="E91" s="5" t="n">
        <v>654.58</v>
      </c>
      <c r="F91" s="5" t="inlineStr">
        <is>
          <t xml:space="preserve">  Client_015</t>
        </is>
      </c>
      <c r="G91" s="5" t="inlineStr">
        <is>
          <t>Livré</t>
        </is>
      </c>
      <c r="H91" s="5" t="inlineStr"/>
    </row>
    <row r="92">
      <c r="A92" s="5" t="inlineStr">
        <is>
          <t>CMD1073</t>
        </is>
      </c>
      <c r="B92" s="5" t="inlineStr">
        <is>
          <t>2024-01-15</t>
        </is>
      </c>
      <c r="C92" s="5" t="inlineStr">
        <is>
          <t>Switch 24 ports</t>
        </is>
      </c>
      <c r="D92" s="5" t="n">
        <v>2</v>
      </c>
      <c r="E92" s="5" t="n">
        <v>854.71</v>
      </c>
      <c r="F92" s="5" t="inlineStr">
        <is>
          <t xml:space="preserve">Client_002  </t>
        </is>
      </c>
      <c r="G92" s="5" t="inlineStr">
        <is>
          <t>Validé</t>
        </is>
      </c>
      <c r="H92" s="5" t="inlineStr"/>
    </row>
    <row r="93">
      <c r="A93" s="5" t="inlineStr">
        <is>
          <t>CMD1074</t>
        </is>
      </c>
      <c r="B93" s="5" t="inlineStr">
        <is>
          <t>15/01/2024</t>
        </is>
      </c>
      <c r="C93" s="5" t="inlineStr">
        <is>
          <t>Scanner Pro A4</t>
        </is>
      </c>
      <c r="D93" s="5" t="n">
        <v>29</v>
      </c>
      <c r="E93" s="5" t="n">
        <v>1856.22</v>
      </c>
      <c r="F93" s="5" t="inlineStr">
        <is>
          <t>Client_028</t>
        </is>
      </c>
      <c r="G93" s="5" t="inlineStr">
        <is>
          <t>En cours</t>
        </is>
      </c>
      <c r="H93" s="5" t="inlineStr"/>
    </row>
    <row r="94">
      <c r="A94" s="5" t="inlineStr">
        <is>
          <t>CMD1075</t>
        </is>
      </c>
      <c r="B94" s="5" t="inlineStr">
        <is>
          <t>2024.01.15</t>
        </is>
      </c>
      <c r="C94" s="5" t="inlineStr">
        <is>
          <t xml:space="preserve">  Tablette Graphique </t>
        </is>
      </c>
      <c r="D94" s="5" t="n">
        <v>37</v>
      </c>
      <c r="E94" s="5" t="inlineStr">
        <is>
          <t>€2836.44</t>
        </is>
      </c>
      <c r="F94" s="5" t="inlineStr">
        <is>
          <t>Client_013</t>
        </is>
      </c>
      <c r="G94" s="5" t="inlineStr">
        <is>
          <t>Validé</t>
        </is>
      </c>
      <c r="H94" s="5" t="inlineStr"/>
    </row>
    <row r="95">
      <c r="A95" s="5" t="inlineStr">
        <is>
          <t>CMD1076</t>
        </is>
      </c>
      <c r="B95" s="5" t="inlineStr">
        <is>
          <t>15/01/2024</t>
        </is>
      </c>
      <c r="C95" s="5" t="inlineStr">
        <is>
          <t>clavier mécanique rgb</t>
        </is>
      </c>
      <c r="D95" s="5" t="n">
        <v>10</v>
      </c>
      <c r="E95" s="5" t="n">
        <v>827.0599999999999</v>
      </c>
      <c r="F95" s="5" t="inlineStr">
        <is>
          <t>Client_047</t>
        </is>
      </c>
      <c r="G95" s="5" t="inlineStr">
        <is>
          <t>En cours</t>
        </is>
      </c>
      <c r="H95" s="5" t="inlineStr"/>
    </row>
    <row r="96">
      <c r="A96" s="5" t="inlineStr">
        <is>
          <t>CMD1077</t>
        </is>
      </c>
      <c r="B96" s="5" t="inlineStr">
        <is>
          <t>2024-01-15</t>
        </is>
      </c>
      <c r="C96" s="5" t="inlineStr">
        <is>
          <t>CLAVIER MÉCANIQUE RGB</t>
        </is>
      </c>
      <c r="D96" s="5" t="n">
        <v>36</v>
      </c>
      <c r="E96" s="5" t="n">
        <v>2351.23</v>
      </c>
      <c r="F96" s="5" t="inlineStr">
        <is>
          <t>Client_016</t>
        </is>
      </c>
      <c r="G96" s="5" t="inlineStr">
        <is>
          <t>Livré</t>
        </is>
      </c>
      <c r="H96" s="5" t="inlineStr"/>
    </row>
    <row r="97">
      <c r="A97" s="5" t="inlineStr">
        <is>
          <t>CMD1078</t>
        </is>
      </c>
      <c r="B97" s="5" t="inlineStr">
        <is>
          <t>2024-01-15</t>
        </is>
      </c>
      <c r="C97" s="5" t="inlineStr">
        <is>
          <t>Laptop HP ProBook</t>
        </is>
      </c>
      <c r="D97" s="5" t="n">
        <v>25</v>
      </c>
      <c r="E97" s="5" t="n">
        <v>2518.26</v>
      </c>
      <c r="F97" s="5" t="inlineStr">
        <is>
          <t>Client_015</t>
        </is>
      </c>
      <c r="G97" s="5" t="inlineStr">
        <is>
          <t>EN COURS</t>
        </is>
      </c>
      <c r="H97" s="5" t="inlineStr"/>
    </row>
    <row r="98">
      <c r="A98" s="5" t="inlineStr">
        <is>
          <t>CMD1079</t>
        </is>
      </c>
      <c r="B98" s="5" t="inlineStr">
        <is>
          <t>15/01/2024</t>
        </is>
      </c>
      <c r="C98" s="5" t="inlineStr">
        <is>
          <t>Souris Logitech MX</t>
        </is>
      </c>
      <c r="D98" s="5" t="n">
        <v>20</v>
      </c>
      <c r="E98" s="5" t="n">
        <v>2126.94</v>
      </c>
      <c r="F98" s="5" t="inlineStr">
        <is>
          <t>Client_025</t>
        </is>
      </c>
      <c r="G98" s="5" t="inlineStr">
        <is>
          <t>VALIDE</t>
        </is>
      </c>
      <c r="H98" s="5" t="inlineStr"/>
    </row>
    <row r="99">
      <c r="A99" s="5" t="inlineStr">
        <is>
          <t>CMD1080</t>
        </is>
      </c>
      <c r="B99" s="5" t="inlineStr">
        <is>
          <t>15-Jan-2024</t>
        </is>
      </c>
      <c r="C99" s="5" t="inlineStr">
        <is>
          <t xml:space="preserve">  Clavier Mécanique RGB </t>
        </is>
      </c>
      <c r="D99" s="5" t="inlineStr">
        <is>
          <t>7 unités</t>
        </is>
      </c>
      <c r="E99" s="5" t="n">
        <v>594.01</v>
      </c>
      <c r="F99" s="5" t="inlineStr">
        <is>
          <t xml:space="preserve">  Client_041</t>
        </is>
      </c>
      <c r="G99" s="5" t="inlineStr">
        <is>
          <t>Validé</t>
        </is>
      </c>
      <c r="H99" s="5" t="inlineStr">
        <is>
          <t>Prioritaire</t>
        </is>
      </c>
    </row>
    <row r="100">
      <c r="A100" s="5" t="inlineStr">
        <is>
          <t>CMD1081</t>
        </is>
      </c>
      <c r="B100" s="5" t="inlineStr">
        <is>
          <t>15-Jan-2024</t>
        </is>
      </c>
      <c r="C100" s="5" t="inlineStr">
        <is>
          <t>clavier mécanique rgb</t>
        </is>
      </c>
      <c r="D100" s="5" t="n">
        <v>4</v>
      </c>
      <c r="E100" s="5" t="n">
        <v>2137.71</v>
      </c>
      <c r="F100" s="5" t="inlineStr">
        <is>
          <t xml:space="preserve">Client_009  </t>
        </is>
      </c>
      <c r="G100" s="5" t="inlineStr">
        <is>
          <t>valide</t>
        </is>
      </c>
      <c r="H100" s="5" t="inlineStr"/>
    </row>
    <row r="101">
      <c r="A101" s="5" t="inlineStr">
        <is>
          <t>CMD1082</t>
        </is>
      </c>
      <c r="B101" s="5" t="inlineStr">
        <is>
          <t>15/01/2024</t>
        </is>
      </c>
      <c r="C101" s="5" t="inlineStr">
        <is>
          <t>ROUTEUR WIFI 6</t>
        </is>
      </c>
      <c r="D101" s="5" t="n">
        <v>49</v>
      </c>
      <c r="E101" s="5" t="n">
        <v>799.33</v>
      </c>
      <c r="F101" s="5" t="inlineStr">
        <is>
          <t>Client_007</t>
        </is>
      </c>
      <c r="G101" s="5" t="inlineStr">
        <is>
          <t>En cours</t>
        </is>
      </c>
      <c r="H101" s="5" t="inlineStr"/>
    </row>
    <row r="102">
      <c r="A102" s="5" t="inlineStr">
        <is>
          <t>CMD1083</t>
        </is>
      </c>
      <c r="B102" s="5" t="inlineStr">
        <is>
          <t>01-15-24</t>
        </is>
      </c>
      <c r="C102" s="5" t="inlineStr">
        <is>
          <t>Switch 24 ports</t>
        </is>
      </c>
      <c r="D102" s="5" t="n">
        <v>39</v>
      </c>
      <c r="E102" s="5" t="n">
        <v>339.81</v>
      </c>
      <c r="F102" s="5" t="inlineStr">
        <is>
          <t>Client_047</t>
        </is>
      </c>
      <c r="G102" s="5" t="inlineStr">
        <is>
          <t>En cours</t>
        </is>
      </c>
      <c r="H102" s="5" t="inlineStr"/>
    </row>
    <row r="103">
      <c r="A103" s="5" t="inlineStr">
        <is>
          <t>CMD1084</t>
        </is>
      </c>
      <c r="B103" s="5" t="inlineStr">
        <is>
          <t>15/01/2024</t>
        </is>
      </c>
      <c r="C103" s="5" t="inlineStr">
        <is>
          <t>Souris Logitech MX</t>
        </is>
      </c>
      <c r="D103" s="5" t="n">
        <v>34</v>
      </c>
      <c r="E103" s="5" t="n">
        <v>2441.77</v>
      </c>
      <c r="F103" s="5" t="inlineStr">
        <is>
          <t>Client_036</t>
        </is>
      </c>
      <c r="G103" s="5" t="inlineStr">
        <is>
          <t>en_cours</t>
        </is>
      </c>
      <c r="H103" s="5" t="inlineStr"/>
    </row>
    <row r="104">
      <c r="A104" s="5" t="inlineStr">
        <is>
          <t>CMD1085</t>
        </is>
      </c>
      <c r="B104" s="5" t="inlineStr">
        <is>
          <t>2024.01.15</t>
        </is>
      </c>
      <c r="C104" s="5" t="inlineStr">
        <is>
          <t xml:space="preserve">  Scanner Pro A4 </t>
        </is>
      </c>
      <c r="D104" s="5" t="n">
        <v>13</v>
      </c>
      <c r="E104" s="5" t="n">
        <v>757.78</v>
      </c>
      <c r="F104" s="5" t="inlineStr">
        <is>
          <t>Client_001</t>
        </is>
      </c>
      <c r="G104" s="5" t="inlineStr">
        <is>
          <t>livré</t>
        </is>
      </c>
      <c r="H104" s="5" t="inlineStr"/>
    </row>
    <row r="105">
      <c r="A105" s="5" t="inlineStr">
        <is>
          <t>CMD1086</t>
        </is>
      </c>
      <c r="B105" s="5" t="inlineStr">
        <is>
          <t>15-Jan-2024</t>
        </is>
      </c>
      <c r="C105" s="5" t="inlineStr">
        <is>
          <t>laptop hp probook</t>
        </is>
      </c>
      <c r="D105" s="5" t="n">
        <v>45</v>
      </c>
      <c r="E105" s="5" t="n">
        <v>2891.72</v>
      </c>
      <c r="F105" s="5" t="inlineStr">
        <is>
          <t>Client_047</t>
        </is>
      </c>
      <c r="G105" s="5" t="inlineStr">
        <is>
          <t>livré</t>
        </is>
      </c>
      <c r="H105" s="5" t="inlineStr"/>
    </row>
    <row r="106">
      <c r="A106" s="5" t="inlineStr">
        <is>
          <t>CMD1087</t>
        </is>
      </c>
      <c r="B106" s="5" t="inlineStr">
        <is>
          <t>2024-01-15</t>
        </is>
      </c>
      <c r="C106" s="5" t="inlineStr">
        <is>
          <t>ÉCRAN DELL 24"</t>
        </is>
      </c>
      <c r="D106" s="5" t="n">
        <v>11</v>
      </c>
      <c r="E106" s="5" t="n">
        <v>2615.47</v>
      </c>
      <c r="F106" s="5" t="inlineStr">
        <is>
          <t>Client_020</t>
        </is>
      </c>
      <c r="G106" s="5" t="inlineStr">
        <is>
          <t>EN COURS</t>
        </is>
      </c>
      <c r="H106" s="5" t="inlineStr"/>
    </row>
    <row r="107">
      <c r="A107" s="5" t="inlineStr">
        <is>
          <t>CMD1088</t>
        </is>
      </c>
      <c r="B107" s="5" t="inlineStr">
        <is>
          <t>2024-01-15</t>
        </is>
      </c>
      <c r="C107" s="5" t="inlineStr">
        <is>
          <t>Routeur WiFi 6</t>
        </is>
      </c>
      <c r="D107" s="5" t="n">
        <v>40</v>
      </c>
      <c r="E107" s="5" t="n">
        <v>2976.8</v>
      </c>
      <c r="F107" s="5" t="inlineStr">
        <is>
          <t xml:space="preserve">  Client_045</t>
        </is>
      </c>
      <c r="G107" s="5" t="inlineStr">
        <is>
          <t>en_cours</t>
        </is>
      </c>
      <c r="H107" s="5" t="inlineStr"/>
    </row>
    <row r="108">
      <c r="A108" s="5" t="inlineStr">
        <is>
          <t>CMD1089</t>
        </is>
      </c>
      <c r="B108" s="5" t="inlineStr">
        <is>
          <t>2024-01-15</t>
        </is>
      </c>
      <c r="C108" s="5" t="inlineStr">
        <is>
          <t>Disque SSD 1To</t>
        </is>
      </c>
      <c r="D108" s="5" t="n">
        <v>29</v>
      </c>
      <c r="E108" s="5" t="n">
        <v>1126.94</v>
      </c>
      <c r="F108" s="5" t="inlineStr">
        <is>
          <t xml:space="preserve">Client_050  </t>
        </is>
      </c>
      <c r="G108" s="5" t="inlineStr">
        <is>
          <t>VALIDE</t>
        </is>
      </c>
      <c r="H108" s="5" t="inlineStr"/>
    </row>
    <row r="109">
      <c r="A109" s="5" t="inlineStr">
        <is>
          <t>CMD1090</t>
        </is>
      </c>
      <c r="B109" s="5" t="inlineStr">
        <is>
          <t>2024-01-15</t>
        </is>
      </c>
      <c r="C109" s="5" t="inlineStr">
        <is>
          <t xml:space="preserve">  Webcam HD 1080p </t>
        </is>
      </c>
      <c r="D109" s="5" t="n">
        <v>21</v>
      </c>
      <c r="E109" s="5" t="inlineStr">
        <is>
          <t>€1847.1</t>
        </is>
      </c>
      <c r="F109" s="5" t="inlineStr">
        <is>
          <t>Client_025</t>
        </is>
      </c>
      <c r="G109" s="5" t="inlineStr">
        <is>
          <t>En cours</t>
        </is>
      </c>
      <c r="H109" s="5" t="inlineStr">
        <is>
          <t>Standard</t>
        </is>
      </c>
    </row>
    <row r="110">
      <c r="A110" s="5" t="inlineStr">
        <is>
          <t>CMD1091</t>
        </is>
      </c>
      <c r="B110" s="5" t="inlineStr">
        <is>
          <t>2024-01-15</t>
        </is>
      </c>
      <c r="C110" s="5" t="inlineStr">
        <is>
          <t>casque audio pro</t>
        </is>
      </c>
      <c r="D110" s="5" t="n">
        <v>17</v>
      </c>
      <c r="E110" s="5" t="n">
        <v>991.49</v>
      </c>
      <c r="F110" s="5" t="inlineStr">
        <is>
          <t>Client_035</t>
        </is>
      </c>
      <c r="G110" s="5" t="inlineStr">
        <is>
          <t>VALIDE</t>
        </is>
      </c>
      <c r="H110" s="5" t="inlineStr"/>
    </row>
    <row r="111">
      <c r="A111" s="5" t="inlineStr">
        <is>
          <t>CMD1092</t>
        </is>
      </c>
      <c r="B111" s="5" t="inlineStr">
        <is>
          <t>15/01/2024</t>
        </is>
      </c>
      <c r="C111" s="5" t="inlineStr">
        <is>
          <t>DISQUE SSD 1TO</t>
        </is>
      </c>
      <c r="D111" s="5" t="n">
        <v>21</v>
      </c>
      <c r="E111" s="5" t="n">
        <v>2829.29</v>
      </c>
      <c r="F111" s="5" t="inlineStr">
        <is>
          <t>Client_036</t>
        </is>
      </c>
      <c r="G111" s="5" t="inlineStr">
        <is>
          <t>VALIDE</t>
        </is>
      </c>
      <c r="H111" s="5" t="inlineStr"/>
    </row>
    <row r="112">
      <c r="A112" s="5" t="inlineStr">
        <is>
          <t>CMD1093</t>
        </is>
      </c>
      <c r="B112" s="5" t="inlineStr">
        <is>
          <t>2024-01-15</t>
        </is>
      </c>
      <c r="C112" s="5" t="inlineStr">
        <is>
          <t>Tablette Graphique</t>
        </is>
      </c>
      <c r="D112" s="5" t="n">
        <v>38</v>
      </c>
      <c r="E112" s="5" t="n">
        <v>1337.16</v>
      </c>
      <c r="F112" s="5" t="inlineStr">
        <is>
          <t>Client_017</t>
        </is>
      </c>
      <c r="G112" s="5" t="inlineStr">
        <is>
          <t>VALIDE</t>
        </is>
      </c>
      <c r="H112" s="5" t="inlineStr"/>
    </row>
    <row r="113">
      <c r="A113" s="5" t="inlineStr">
        <is>
          <t>CMD1094</t>
        </is>
      </c>
      <c r="B113" s="5" t="inlineStr">
        <is>
          <t>15/01/2024</t>
        </is>
      </c>
      <c r="C113" s="5" t="inlineStr">
        <is>
          <t>Switch 24 ports</t>
        </is>
      </c>
      <c r="D113" s="5" t="n">
        <v>21</v>
      </c>
      <c r="E113" s="5" t="n">
        <v>254.77</v>
      </c>
      <c r="F113" s="5" t="inlineStr">
        <is>
          <t>Client_003</t>
        </is>
      </c>
      <c r="G113" s="5" t="inlineStr">
        <is>
          <t>valide</t>
        </is>
      </c>
      <c r="H113" s="5" t="inlineStr"/>
    </row>
    <row r="114">
      <c r="A114" s="5" t="inlineStr">
        <is>
          <t>CMD1095</t>
        </is>
      </c>
      <c r="B114" s="5" t="inlineStr">
        <is>
          <t>15-Jan-2024</t>
        </is>
      </c>
      <c r="C114" s="5" t="inlineStr">
        <is>
          <t xml:space="preserve">  Écran DELL 24" </t>
        </is>
      </c>
      <c r="D114" s="5" t="n">
        <v>2</v>
      </c>
      <c r="E114" s="5" t="n">
        <v>751.73</v>
      </c>
      <c r="F114" s="5" t="inlineStr">
        <is>
          <t>Client_010</t>
        </is>
      </c>
      <c r="G114" s="5" t="inlineStr">
        <is>
          <t>VALIDE</t>
        </is>
      </c>
      <c r="H114" s="5" t="inlineStr"/>
    </row>
    <row r="115">
      <c r="A115" s="5" t="inlineStr">
        <is>
          <t>CMD1096</t>
        </is>
      </c>
      <c r="B115" s="5" t="inlineStr">
        <is>
          <t>2024-01-15</t>
        </is>
      </c>
      <c r="C115" s="5" t="inlineStr">
        <is>
          <t>clavier mécanique rgb</t>
        </is>
      </c>
      <c r="D115" s="5" t="n">
        <v>14</v>
      </c>
      <c r="E115" s="5" t="n">
        <v>1754.09</v>
      </c>
      <c r="F115" s="5" t="inlineStr">
        <is>
          <t xml:space="preserve">  Client_008</t>
        </is>
      </c>
      <c r="G115" s="5" t="inlineStr">
        <is>
          <t>En cours</t>
        </is>
      </c>
      <c r="H115" s="5" t="inlineStr"/>
    </row>
    <row r="116">
      <c r="A116" s="5" t="inlineStr">
        <is>
          <t>CMD1097</t>
        </is>
      </c>
      <c r="B116" s="5" t="inlineStr">
        <is>
          <t>2024-01-15</t>
        </is>
      </c>
      <c r="C116" s="5" t="inlineStr">
        <is>
          <t>LAPTOP HP PROBOOK</t>
        </is>
      </c>
      <c r="D116" s="5" t="n">
        <v>21</v>
      </c>
      <c r="E116" s="5" t="n">
        <v>1899.03</v>
      </c>
      <c r="F116" s="5" t="inlineStr">
        <is>
          <t xml:space="preserve">Client_003  </t>
        </is>
      </c>
      <c r="G116" s="5" t="inlineStr">
        <is>
          <t>EN COURS</t>
        </is>
      </c>
      <c r="H116" s="5" t="inlineStr"/>
    </row>
    <row r="117">
      <c r="A117" s="5" t="inlineStr">
        <is>
          <t>CMD1098</t>
        </is>
      </c>
      <c r="B117" s="5" t="inlineStr">
        <is>
          <t>15-Jan-2024</t>
        </is>
      </c>
      <c r="C117" s="5" t="inlineStr">
        <is>
          <t>Tablette Graphique</t>
        </is>
      </c>
      <c r="D117" s="5" t="n">
        <v>43</v>
      </c>
      <c r="E117" s="5" t="n">
        <v>821.08</v>
      </c>
      <c r="F117" s="5" t="inlineStr">
        <is>
          <t>Client_027</t>
        </is>
      </c>
      <c r="G117" s="5" t="inlineStr">
        <is>
          <t>Validé</t>
        </is>
      </c>
      <c r="H117" s="5" t="inlineStr"/>
    </row>
    <row r="118">
      <c r="A118" s="5" t="inlineStr">
        <is>
          <t>CMD1099</t>
        </is>
      </c>
      <c r="B118" s="5" t="inlineStr">
        <is>
          <t>15-Jan-2024</t>
        </is>
      </c>
      <c r="C118" s="5" t="inlineStr">
        <is>
          <t>Webcam HD 1080p</t>
        </is>
      </c>
      <c r="D118" s="5" t="n">
        <v>8</v>
      </c>
      <c r="E118" s="5" t="n">
        <v>1229.73</v>
      </c>
      <c r="F118" s="5" t="inlineStr">
        <is>
          <t>Client_039</t>
        </is>
      </c>
      <c r="G118" s="5" t="inlineStr">
        <is>
          <t>valide</t>
        </is>
      </c>
      <c r="H118" s="5" t="inlineStr"/>
    </row>
    <row r="119">
      <c r="A119" s="5" t="inlineStr">
        <is>
          <t>CMD1100</t>
        </is>
      </c>
      <c r="B119" s="5" t="inlineStr">
        <is>
          <t>2024.01.15</t>
        </is>
      </c>
      <c r="C119" s="5" t="inlineStr">
        <is>
          <t xml:space="preserve">  Souris Logitech MX </t>
        </is>
      </c>
      <c r="D119" s="5" t="inlineStr">
        <is>
          <t>26 unités</t>
        </is>
      </c>
      <c r="E119" s="5" t="n">
        <v>245</v>
      </c>
      <c r="F119" s="5" t="inlineStr">
        <is>
          <t>Client_006</t>
        </is>
      </c>
      <c r="G119" s="5" t="inlineStr">
        <is>
          <t>VALIDE</t>
        </is>
      </c>
      <c r="H119" s="5" t="inlineStr">
        <is>
          <t>Standard</t>
        </is>
      </c>
    </row>
    <row r="120">
      <c r="A120" s="5" t="inlineStr">
        <is>
          <t>CMD1101</t>
        </is>
      </c>
      <c r="B120" s="5" t="inlineStr">
        <is>
          <t>15-Jan-2024</t>
        </is>
      </c>
      <c r="C120" s="5" t="inlineStr">
        <is>
          <t>webcam hd 1080p</t>
        </is>
      </c>
      <c r="D120" s="5" t="n">
        <v>2</v>
      </c>
      <c r="E120" s="5" t="n">
        <v>2156.68</v>
      </c>
      <c r="F120" s="5" t="inlineStr">
        <is>
          <t>Client_022</t>
        </is>
      </c>
      <c r="G120" s="5" t="inlineStr">
        <is>
          <t>En cours</t>
        </is>
      </c>
      <c r="H120" s="5" t="inlineStr"/>
    </row>
    <row r="121">
      <c r="A121" s="5" t="inlineStr">
        <is>
          <t>CMD1102</t>
        </is>
      </c>
      <c r="B121" s="5" t="inlineStr">
        <is>
          <t>2024-01-15</t>
        </is>
      </c>
      <c r="C121" s="5" t="inlineStr">
        <is>
          <t>SCANNER PRO A4</t>
        </is>
      </c>
      <c r="D121" s="5" t="n">
        <v>35</v>
      </c>
      <c r="E121" s="5" t="n">
        <v>590.61</v>
      </c>
      <c r="F121" s="5" t="inlineStr">
        <is>
          <t>Client_021</t>
        </is>
      </c>
      <c r="G121" s="5" t="inlineStr">
        <is>
          <t>En cours</t>
        </is>
      </c>
      <c r="H121" s="5" t="inlineStr"/>
    </row>
    <row r="122">
      <c r="A122" s="5" t="inlineStr">
        <is>
          <t>CMD1103</t>
        </is>
      </c>
      <c r="B122" s="5" t="inlineStr">
        <is>
          <t>15/01/2024</t>
        </is>
      </c>
      <c r="C122" s="5" t="inlineStr">
        <is>
          <t>Disque SSD 1To</t>
        </is>
      </c>
      <c r="D122" s="5" t="n">
        <v>46</v>
      </c>
      <c r="E122" s="5" t="n">
        <v>670.16</v>
      </c>
      <c r="F122" s="5" t="inlineStr">
        <is>
          <t>Client_021</t>
        </is>
      </c>
      <c r="G122" s="5" t="inlineStr">
        <is>
          <t>EN COURS</t>
        </is>
      </c>
      <c r="H122" s="5" t="inlineStr"/>
    </row>
    <row r="123">
      <c r="A123" s="5" t="inlineStr">
        <is>
          <t>CMD1104</t>
        </is>
      </c>
      <c r="B123" s="5" t="inlineStr">
        <is>
          <t>15-Jan-2024</t>
        </is>
      </c>
      <c r="C123" s="5" t="inlineStr">
        <is>
          <t>Clavier Mécanique RGB</t>
        </is>
      </c>
      <c r="D123" s="5" t="n">
        <v>29</v>
      </c>
      <c r="E123" s="5" t="n">
        <v>1719.76</v>
      </c>
      <c r="F123" s="5" t="inlineStr">
        <is>
          <t xml:space="preserve">  Client_046</t>
        </is>
      </c>
      <c r="G123" s="5" t="inlineStr">
        <is>
          <t>en_cours</t>
        </is>
      </c>
      <c r="H123" s="5" t="inlineStr"/>
    </row>
    <row r="124">
      <c r="A124" s="5" t="inlineStr">
        <is>
          <t>CMD1105</t>
        </is>
      </c>
      <c r="B124" s="5" t="inlineStr">
        <is>
          <t>15-Jan-2024</t>
        </is>
      </c>
      <c r="C124" s="5" t="inlineStr">
        <is>
          <t xml:space="preserve">  Tablette Graphique </t>
        </is>
      </c>
      <c r="D124" s="5" t="n">
        <v>10</v>
      </c>
      <c r="E124" s="5" t="inlineStr">
        <is>
          <t>€1244.7</t>
        </is>
      </c>
      <c r="F124" s="5" t="inlineStr">
        <is>
          <t xml:space="preserve">Client_009  </t>
        </is>
      </c>
      <c r="G124" s="5" t="inlineStr">
        <is>
          <t>valide</t>
        </is>
      </c>
      <c r="H124" s="5" t="inlineStr"/>
    </row>
    <row r="125">
      <c r="A125" s="5" t="inlineStr">
        <is>
          <t>CMD1106</t>
        </is>
      </c>
      <c r="B125" s="5" t="inlineStr">
        <is>
          <t>01-15-24</t>
        </is>
      </c>
      <c r="C125" s="5" t="inlineStr">
        <is>
          <t>tablette graphique</t>
        </is>
      </c>
      <c r="D125" s="5" t="n">
        <v>21</v>
      </c>
      <c r="E125" s="5" t="n">
        <v>853.03</v>
      </c>
      <c r="F125" s="5" t="inlineStr">
        <is>
          <t>Client_027</t>
        </is>
      </c>
      <c r="G125" s="5" t="inlineStr">
        <is>
          <t>valide</t>
        </is>
      </c>
      <c r="H125" s="5" t="inlineStr"/>
    </row>
    <row r="126">
      <c r="A126" s="5" t="inlineStr">
        <is>
          <t>CMD1107</t>
        </is>
      </c>
      <c r="B126" s="5" t="inlineStr">
        <is>
          <t>2024.01.15</t>
        </is>
      </c>
      <c r="C126" s="5" t="inlineStr">
        <is>
          <t>CLAVIER MÉCANIQUE RGB</t>
        </is>
      </c>
      <c r="D126" s="5" t="n">
        <v>24</v>
      </c>
      <c r="E126" s="5" t="n">
        <v>2610.89</v>
      </c>
      <c r="F126" s="5" t="inlineStr">
        <is>
          <t>Client_028</t>
        </is>
      </c>
      <c r="G126" s="5" t="inlineStr">
        <is>
          <t>VALIDE</t>
        </is>
      </c>
      <c r="H126" s="5" t="inlineStr"/>
    </row>
    <row r="127">
      <c r="A127" s="5" t="inlineStr">
        <is>
          <t>CMD1108</t>
        </is>
      </c>
      <c r="B127" s="5" t="inlineStr">
        <is>
          <t>15-Jan-2024</t>
        </is>
      </c>
      <c r="C127" s="5" t="inlineStr">
        <is>
          <t>Scanner Pro A4</t>
        </is>
      </c>
      <c r="D127" s="5" t="n">
        <v>3</v>
      </c>
      <c r="E127" s="5" t="n">
        <v>1329.62</v>
      </c>
      <c r="F127" s="5" t="inlineStr">
        <is>
          <t>Client_029</t>
        </is>
      </c>
      <c r="G127" s="5" t="inlineStr">
        <is>
          <t>EN COURS</t>
        </is>
      </c>
      <c r="H127" s="5" t="inlineStr"/>
    </row>
    <row r="128">
      <c r="A128" s="5" t="inlineStr">
        <is>
          <t>CMD1109</t>
        </is>
      </c>
      <c r="B128" s="5" t="inlineStr">
        <is>
          <t>2024-01-15</t>
        </is>
      </c>
      <c r="C128" s="5" t="inlineStr">
        <is>
          <t>Clavier Mécanique RGB</t>
        </is>
      </c>
      <c r="D128" s="5" t="n">
        <v>49</v>
      </c>
      <c r="E128" s="5" t="n">
        <v>1776.6</v>
      </c>
      <c r="F128" s="5" t="inlineStr">
        <is>
          <t>Client_014</t>
        </is>
      </c>
      <c r="G128" s="5" t="inlineStr">
        <is>
          <t>en_cours</t>
        </is>
      </c>
      <c r="H128" s="5" t="inlineStr"/>
    </row>
    <row r="129">
      <c r="A129" s="5" t="inlineStr">
        <is>
          <t>CMD1110</t>
        </is>
      </c>
      <c r="B129" s="5" t="inlineStr">
        <is>
          <t>2024-01-15</t>
        </is>
      </c>
      <c r="C129" s="5" t="inlineStr">
        <is>
          <t xml:space="preserve">  Disque SSD 1To </t>
        </is>
      </c>
      <c r="D129" s="5" t="n">
        <v>13</v>
      </c>
      <c r="E129" s="5" t="n">
        <v>2654.19</v>
      </c>
      <c r="F129" s="5" t="inlineStr">
        <is>
          <t>Client_041</t>
        </is>
      </c>
      <c r="G129" s="5" t="inlineStr">
        <is>
          <t>En cours</t>
        </is>
      </c>
      <c r="H129" s="5" t="inlineStr"/>
    </row>
    <row r="130">
      <c r="A130" s="5" t="inlineStr">
        <is>
          <t>CMD1111</t>
        </is>
      </c>
      <c r="B130" s="5" t="inlineStr">
        <is>
          <t>01-15-24</t>
        </is>
      </c>
      <c r="C130" s="5" t="inlineStr">
        <is>
          <t>casque audio pro</t>
        </is>
      </c>
      <c r="D130" s="5" t="n">
        <v>38</v>
      </c>
      <c r="E130" s="5" t="n">
        <v>1546.94</v>
      </c>
      <c r="F130" s="5" t="inlineStr">
        <is>
          <t>Client_024</t>
        </is>
      </c>
      <c r="G130" s="5" t="inlineStr">
        <is>
          <t>valide</t>
        </is>
      </c>
      <c r="H130" s="5" t="inlineStr"/>
    </row>
    <row r="131">
      <c r="A131" s="5" t="inlineStr">
        <is>
          <t>CMD1112</t>
        </is>
      </c>
      <c r="B131" s="5" t="inlineStr">
        <is>
          <t>15-Jan-2024</t>
        </is>
      </c>
      <c r="C131" s="5" t="inlineStr">
        <is>
          <t>ÉCRAN DELL 24"</t>
        </is>
      </c>
      <c r="D131" s="5" t="n">
        <v>47</v>
      </c>
      <c r="E131" s="5" t="n">
        <v>2780.06</v>
      </c>
      <c r="F131" s="5" t="inlineStr">
        <is>
          <t xml:space="preserve">  Client_010</t>
        </is>
      </c>
      <c r="G131" s="5" t="inlineStr">
        <is>
          <t>EN COURS</t>
        </is>
      </c>
      <c r="H131" s="5" t="inlineStr"/>
    </row>
    <row r="132">
      <c r="A132" s="5" t="inlineStr">
        <is>
          <t>CMD1113</t>
        </is>
      </c>
      <c r="B132" s="5" t="inlineStr">
        <is>
          <t>01-15-24</t>
        </is>
      </c>
      <c r="C132" s="5" t="inlineStr">
        <is>
          <t>Routeur WiFi 6</t>
        </is>
      </c>
      <c r="D132" s="5" t="n">
        <v>6</v>
      </c>
      <c r="E132" s="5" t="n">
        <v>831.91</v>
      </c>
      <c r="F132" s="5" t="inlineStr">
        <is>
          <t xml:space="preserve">Client_008  </t>
        </is>
      </c>
      <c r="G132" s="5" t="inlineStr">
        <is>
          <t>Validé</t>
        </is>
      </c>
      <c r="H132" s="5" t="inlineStr"/>
    </row>
    <row r="133">
      <c r="A133" s="5" t="inlineStr">
        <is>
          <t>CMD1114</t>
        </is>
      </c>
      <c r="B133" s="5" t="inlineStr">
        <is>
          <t>2024.01.15</t>
        </is>
      </c>
      <c r="C133" s="5" t="inlineStr">
        <is>
          <t>Écran DELL 24"</t>
        </is>
      </c>
      <c r="D133" s="5" t="n">
        <v>43</v>
      </c>
      <c r="E133" s="5" t="n">
        <v>2627.39</v>
      </c>
      <c r="F133" s="5" t="inlineStr">
        <is>
          <t>Client_012</t>
        </is>
      </c>
      <c r="G133" s="5" t="inlineStr">
        <is>
          <t>valide</t>
        </is>
      </c>
      <c r="H133" s="5" t="inlineStr"/>
    </row>
    <row r="134">
      <c r="A134" s="5" t="inlineStr">
        <is>
          <t>CMD1115</t>
        </is>
      </c>
      <c r="B134" s="5" t="inlineStr">
        <is>
          <t>2024-01-15</t>
        </is>
      </c>
      <c r="C134" s="5" t="inlineStr">
        <is>
          <t xml:space="preserve">  Casque Audio Pro </t>
        </is>
      </c>
      <c r="D134" s="5" t="n">
        <v>35</v>
      </c>
      <c r="E134" s="5" t="n">
        <v>564.52</v>
      </c>
      <c r="F134" s="5" t="inlineStr">
        <is>
          <t>Client_017</t>
        </is>
      </c>
      <c r="G134" s="5" t="inlineStr">
        <is>
          <t>VALIDE</t>
        </is>
      </c>
      <c r="H134" s="5" t="inlineStr"/>
    </row>
    <row r="135">
      <c r="A135" s="5" t="inlineStr">
        <is>
          <t>CMD1116</t>
        </is>
      </c>
      <c r="B135" s="5" t="inlineStr">
        <is>
          <t>01-15-24</t>
        </is>
      </c>
      <c r="C135" s="5" t="inlineStr">
        <is>
          <t>écran dell 24"</t>
        </is>
      </c>
      <c r="D135" s="5" t="n">
        <v>27</v>
      </c>
      <c r="E135" s="5" t="n">
        <v>1438.61</v>
      </c>
      <c r="F135" s="5" t="inlineStr">
        <is>
          <t>Client_023</t>
        </is>
      </c>
      <c r="G135" s="5" t="inlineStr">
        <is>
          <t>Validé</t>
        </is>
      </c>
      <c r="H135" s="5" t="inlineStr"/>
    </row>
    <row r="136">
      <c r="A136" s="5" t="inlineStr">
        <is>
          <t>CMD1117</t>
        </is>
      </c>
      <c r="B136" s="5" t="inlineStr">
        <is>
          <t>2024.01.15</t>
        </is>
      </c>
      <c r="C136" s="5" t="inlineStr">
        <is>
          <t>IMPRIMANTE LASER</t>
        </is>
      </c>
      <c r="D136" s="5" t="n">
        <v>6</v>
      </c>
      <c r="E136" s="5" t="n">
        <v>1666.61</v>
      </c>
      <c r="F136" s="5" t="inlineStr">
        <is>
          <t>Client_006</t>
        </is>
      </c>
      <c r="G136" s="5" t="inlineStr">
        <is>
          <t>En cours</t>
        </is>
      </c>
      <c r="H136" s="5" t="inlineStr"/>
    </row>
    <row r="137">
      <c r="A137" s="5" t="inlineStr">
        <is>
          <t>CMD1118</t>
        </is>
      </c>
      <c r="B137" s="5" t="inlineStr">
        <is>
          <t>2024-01-15</t>
        </is>
      </c>
      <c r="C137" s="5" t="inlineStr">
        <is>
          <t>Routeur WiFi 6</t>
        </is>
      </c>
      <c r="D137" s="5" t="n">
        <v>19</v>
      </c>
      <c r="E137" s="5" t="n">
        <v>2623.06</v>
      </c>
      <c r="F137" s="5" t="inlineStr">
        <is>
          <t>Client_014</t>
        </is>
      </c>
      <c r="G137" s="5" t="inlineStr">
        <is>
          <t>EN COURS</t>
        </is>
      </c>
      <c r="H137" s="5" t="inlineStr"/>
    </row>
    <row r="138">
      <c r="A138" s="5" t="inlineStr">
        <is>
          <t>CMD1119</t>
        </is>
      </c>
      <c r="B138" s="5" t="inlineStr">
        <is>
          <t>01-15-24</t>
        </is>
      </c>
      <c r="C138" s="5" t="inlineStr">
        <is>
          <t>Clavier Mécanique RGB</t>
        </is>
      </c>
      <c r="D138" s="5" t="n">
        <v>19</v>
      </c>
      <c r="E138" s="5" t="n">
        <v>1073.44</v>
      </c>
      <c r="F138" s="5" t="inlineStr">
        <is>
          <t>Client_013</t>
        </is>
      </c>
      <c r="G138" s="5" t="inlineStr">
        <is>
          <t>valide</t>
        </is>
      </c>
      <c r="H138" s="5" t="inlineStr"/>
    </row>
    <row r="139">
      <c r="A139" s="5" t="inlineStr">
        <is>
          <t>CMD1120</t>
        </is>
      </c>
      <c r="B139" s="5" t="inlineStr">
        <is>
          <t>2024-01-15</t>
        </is>
      </c>
      <c r="C139" s="5" t="inlineStr">
        <is>
          <t xml:space="preserve">  Scanner Pro A4 </t>
        </is>
      </c>
      <c r="D139" s="5" t="inlineStr">
        <is>
          <t>29 unités</t>
        </is>
      </c>
      <c r="E139" s="5" t="inlineStr">
        <is>
          <t>€1309.03</t>
        </is>
      </c>
      <c r="F139" s="5" t="inlineStr">
        <is>
          <t xml:space="preserve">  Client_036</t>
        </is>
      </c>
      <c r="G139" s="5" t="inlineStr">
        <is>
          <t>en_cours</t>
        </is>
      </c>
      <c r="H139" s="5" t="inlineStr">
        <is>
          <t>Prioritaire</t>
        </is>
      </c>
    </row>
    <row r="140">
      <c r="A140" s="5" t="inlineStr">
        <is>
          <t>CMD1121</t>
        </is>
      </c>
      <c r="B140" s="5" t="inlineStr">
        <is>
          <t>15/01/2024</t>
        </is>
      </c>
      <c r="C140" s="5" t="inlineStr">
        <is>
          <t>écran dell 24"</t>
        </is>
      </c>
      <c r="D140" s="5" t="n">
        <v>12</v>
      </c>
      <c r="E140" s="5" t="n">
        <v>669.0700000000001</v>
      </c>
      <c r="F140" s="5" t="inlineStr">
        <is>
          <t xml:space="preserve">Client_047  </t>
        </is>
      </c>
      <c r="G140" s="5" t="inlineStr">
        <is>
          <t>VALIDE</t>
        </is>
      </c>
      <c r="H140" s="5" t="inlineStr"/>
    </row>
    <row r="141">
      <c r="A141" s="5" t="inlineStr">
        <is>
          <t>CMD1122</t>
        </is>
      </c>
      <c r="B141" s="5" t="inlineStr">
        <is>
          <t>2024.01.15</t>
        </is>
      </c>
      <c r="C141" s="5" t="inlineStr">
        <is>
          <t>TABLETTE GRAPHIQUE</t>
        </is>
      </c>
      <c r="D141" s="5" t="n">
        <v>32</v>
      </c>
      <c r="E141" s="5" t="n">
        <v>1989.54</v>
      </c>
      <c r="F141" s="5" t="inlineStr">
        <is>
          <t>Client_039</t>
        </is>
      </c>
      <c r="G141" s="5" t="inlineStr">
        <is>
          <t>Livré</t>
        </is>
      </c>
      <c r="H141" s="5" t="inlineStr"/>
    </row>
    <row r="142">
      <c r="A142" s="5" t="inlineStr">
        <is>
          <t>CMD1123</t>
        </is>
      </c>
      <c r="B142" s="5" t="inlineStr">
        <is>
          <t>01-15-24</t>
        </is>
      </c>
      <c r="C142" s="5" t="inlineStr">
        <is>
          <t>Souris Logitech MX</t>
        </is>
      </c>
      <c r="D142" s="5" t="n">
        <v>11</v>
      </c>
      <c r="E142" s="5" t="n">
        <v>1615.89</v>
      </c>
      <c r="F142" s="5" t="inlineStr">
        <is>
          <t>Client_029</t>
        </is>
      </c>
      <c r="G142" s="5" t="inlineStr">
        <is>
          <t>EN COURS</t>
        </is>
      </c>
      <c r="H142" s="5" t="inlineStr"/>
    </row>
    <row r="143">
      <c r="A143" s="5" t="inlineStr">
        <is>
          <t>CMD1124</t>
        </is>
      </c>
      <c r="B143" s="5" t="inlineStr">
        <is>
          <t>2024.01.15</t>
        </is>
      </c>
      <c r="C143" s="5" t="inlineStr">
        <is>
          <t>Casque Audio Pro</t>
        </is>
      </c>
      <c r="D143" s="5" t="n">
        <v>39</v>
      </c>
      <c r="E143" s="5" t="n">
        <v>2229.86</v>
      </c>
      <c r="F143" s="5" t="inlineStr">
        <is>
          <t>Client_005</t>
        </is>
      </c>
      <c r="G143" s="5" t="inlineStr">
        <is>
          <t>EN COURS</t>
        </is>
      </c>
      <c r="H143" s="5" t="inlineStr"/>
    </row>
    <row r="144">
      <c r="A144" s="5" t="inlineStr">
        <is>
          <t>CMD1125</t>
        </is>
      </c>
      <c r="B144" s="5" t="inlineStr">
        <is>
          <t>15-Jan-2024</t>
        </is>
      </c>
      <c r="C144" s="5" t="inlineStr">
        <is>
          <t xml:space="preserve">  Switch 24 ports </t>
        </is>
      </c>
      <c r="D144" s="5" t="n">
        <v>43</v>
      </c>
      <c r="E144" s="5" t="n">
        <v>1702.56</v>
      </c>
      <c r="F144" s="5" t="inlineStr">
        <is>
          <t>Client_024</t>
        </is>
      </c>
      <c r="G144" s="5" t="inlineStr">
        <is>
          <t>Livré</t>
        </is>
      </c>
      <c r="H144" s="5" t="inlineStr"/>
    </row>
    <row r="145">
      <c r="A145" s="5" t="inlineStr">
        <is>
          <t>CMD1126</t>
        </is>
      </c>
      <c r="B145" s="5" t="inlineStr">
        <is>
          <t>2024.01.15</t>
        </is>
      </c>
      <c r="C145" s="5" t="inlineStr">
        <is>
          <t>tablette graphique</t>
        </is>
      </c>
      <c r="D145" s="5" t="n">
        <v>20</v>
      </c>
      <c r="E145" s="5" t="n">
        <v>932.72</v>
      </c>
      <c r="F145" s="5" t="inlineStr">
        <is>
          <t>Client_027</t>
        </is>
      </c>
      <c r="G145" s="5" t="inlineStr">
        <is>
          <t>EN COURS</t>
        </is>
      </c>
      <c r="H145" s="5" t="inlineStr"/>
    </row>
    <row r="146">
      <c r="A146" s="5" t="inlineStr">
        <is>
          <t>CMD1127</t>
        </is>
      </c>
      <c r="B146" s="5" t="inlineStr">
        <is>
          <t>2024.01.15</t>
        </is>
      </c>
      <c r="C146" s="5" t="inlineStr">
        <is>
          <t>ROUTEUR WIFI 6</t>
        </is>
      </c>
      <c r="D146" s="5" t="n">
        <v>9</v>
      </c>
      <c r="E146" s="5" t="n">
        <v>1945.03</v>
      </c>
      <c r="F146" s="5" t="inlineStr">
        <is>
          <t>Client_003</t>
        </is>
      </c>
      <c r="G146" s="5" t="inlineStr">
        <is>
          <t>Livré</t>
        </is>
      </c>
      <c r="H146" s="5" t="inlineStr"/>
    </row>
    <row r="147">
      <c r="A147" s="5" t="inlineStr">
        <is>
          <t>CMD1128</t>
        </is>
      </c>
      <c r="B147" s="5" t="inlineStr">
        <is>
          <t>15-Jan-2024</t>
        </is>
      </c>
      <c r="C147" s="5" t="inlineStr">
        <is>
          <t>Souris Logitech MX</t>
        </is>
      </c>
      <c r="D147" s="5" t="n">
        <v>49</v>
      </c>
      <c r="E147" s="5" t="n">
        <v>206.28</v>
      </c>
      <c r="F147" s="5" t="inlineStr">
        <is>
          <t xml:space="preserve">  Client_002</t>
        </is>
      </c>
      <c r="G147" s="5" t="inlineStr">
        <is>
          <t>livré</t>
        </is>
      </c>
      <c r="H147" s="5" t="inlineStr"/>
    </row>
    <row r="148">
      <c r="A148" s="5" t="inlineStr">
        <is>
          <t>CMD1129</t>
        </is>
      </c>
      <c r="B148" s="5" t="inlineStr">
        <is>
          <t>2024.01.15</t>
        </is>
      </c>
      <c r="C148" s="5" t="inlineStr">
        <is>
          <t>Casque Audio Pro</t>
        </is>
      </c>
      <c r="D148" s="5" t="n">
        <v>27</v>
      </c>
      <c r="E148" s="5" t="n">
        <v>358.34</v>
      </c>
      <c r="F148" s="5" t="inlineStr">
        <is>
          <t xml:space="preserve">Client_013  </t>
        </is>
      </c>
      <c r="G148" s="5" t="inlineStr">
        <is>
          <t>en_cours</t>
        </is>
      </c>
      <c r="H148" s="5" t="inlineStr"/>
    </row>
    <row r="149">
      <c r="A149" s="5" t="inlineStr">
        <is>
          <t>CMD1130</t>
        </is>
      </c>
      <c r="B149" s="5" t="inlineStr">
        <is>
          <t>01-15-24</t>
        </is>
      </c>
      <c r="C149" s="5" t="inlineStr">
        <is>
          <t xml:space="preserve">  Casque Audio Pro </t>
        </is>
      </c>
      <c r="D149" s="5" t="n">
        <v>49</v>
      </c>
      <c r="E149" s="5" t="n">
        <v>1471.84</v>
      </c>
      <c r="F149" s="5" t="inlineStr">
        <is>
          <t>Client_024</t>
        </is>
      </c>
      <c r="G149" s="5" t="inlineStr">
        <is>
          <t>Livré</t>
        </is>
      </c>
      <c r="H149" s="5" t="inlineStr">
        <is>
          <t>Prioritaire</t>
        </is>
      </c>
    </row>
    <row r="150">
      <c r="A150" s="5" t="inlineStr">
        <is>
          <t>CMD1131</t>
        </is>
      </c>
      <c r="B150" s="5" t="inlineStr">
        <is>
          <t>01-15-24</t>
        </is>
      </c>
      <c r="C150" s="5" t="inlineStr">
        <is>
          <t>écran dell 24"</t>
        </is>
      </c>
      <c r="D150" s="5" t="n">
        <v>7</v>
      </c>
      <c r="E150" s="5" t="n">
        <v>1370.5</v>
      </c>
      <c r="F150" s="5" t="inlineStr">
        <is>
          <t>Client_049</t>
        </is>
      </c>
      <c r="G150" s="5" t="inlineStr">
        <is>
          <t>VALIDE</t>
        </is>
      </c>
      <c r="H150" s="5" t="inlineStr"/>
    </row>
    <row r="151">
      <c r="A151" s="5" t="inlineStr">
        <is>
          <t>CMD1132</t>
        </is>
      </c>
      <c r="B151" s="5" t="inlineStr">
        <is>
          <t>15-Jan-2024</t>
        </is>
      </c>
      <c r="C151" s="5" t="inlineStr">
        <is>
          <t>ROUTEUR WIFI 6</t>
        </is>
      </c>
      <c r="D151" s="5" t="n">
        <v>28</v>
      </c>
      <c r="E151" s="5" t="n">
        <v>2607.37</v>
      </c>
      <c r="F151" s="5" t="inlineStr">
        <is>
          <t>Client_018</t>
        </is>
      </c>
      <c r="G151" s="5" t="inlineStr">
        <is>
          <t>EN COURS</t>
        </is>
      </c>
      <c r="H151" s="5" t="inlineStr"/>
    </row>
    <row r="152">
      <c r="A152" s="5" t="inlineStr">
        <is>
          <t>CMD1133</t>
        </is>
      </c>
      <c r="B152" s="5" t="inlineStr">
        <is>
          <t>01-15-24</t>
        </is>
      </c>
      <c r="C152" s="5" t="inlineStr">
        <is>
          <t>Disque SSD 1To</t>
        </is>
      </c>
      <c r="D152" s="5" t="n">
        <v>10</v>
      </c>
      <c r="E152" s="5" t="n">
        <v>2162.77</v>
      </c>
      <c r="F152" s="5" t="inlineStr">
        <is>
          <t>Client_042</t>
        </is>
      </c>
      <c r="G152" s="5" t="inlineStr">
        <is>
          <t>Livré</t>
        </is>
      </c>
      <c r="H152" s="5" t="inlineStr"/>
    </row>
    <row r="153">
      <c r="A153" s="5" t="inlineStr">
        <is>
          <t>CMD1134</t>
        </is>
      </c>
      <c r="B153" s="5" t="inlineStr">
        <is>
          <t>15-Jan-2024</t>
        </is>
      </c>
      <c r="C153" s="5" t="inlineStr">
        <is>
          <t>Souris Logitech MX</t>
        </is>
      </c>
      <c r="D153" s="5" t="n">
        <v>21</v>
      </c>
      <c r="E153" s="5" t="n">
        <v>2592.46</v>
      </c>
      <c r="F153" s="5" t="inlineStr">
        <is>
          <t>Client_026</t>
        </is>
      </c>
      <c r="G153" s="5" t="inlineStr">
        <is>
          <t>En cours</t>
        </is>
      </c>
      <c r="H153" s="5" t="inlineStr"/>
    </row>
    <row r="154">
      <c r="A154" s="5" t="inlineStr">
        <is>
          <t>CMD1135</t>
        </is>
      </c>
      <c r="B154" s="5" t="inlineStr">
        <is>
          <t>15-Jan-2024</t>
        </is>
      </c>
      <c r="C154" s="5" t="inlineStr">
        <is>
          <t xml:space="preserve">  Casque Audio Pro </t>
        </is>
      </c>
      <c r="D154" s="5" t="n">
        <v>6</v>
      </c>
      <c r="E154" s="5" t="inlineStr">
        <is>
          <t>€272.37</t>
        </is>
      </c>
      <c r="F154" s="5" t="inlineStr">
        <is>
          <t>Client_012</t>
        </is>
      </c>
      <c r="G154" s="5" t="inlineStr">
        <is>
          <t>Livré</t>
        </is>
      </c>
      <c r="H154" s="5" t="inlineStr"/>
    </row>
    <row r="155">
      <c r="A155" s="5" t="inlineStr">
        <is>
          <t>CMD1136</t>
        </is>
      </c>
      <c r="B155" s="5" t="inlineStr">
        <is>
          <t>2024.01.15</t>
        </is>
      </c>
      <c r="C155" s="5" t="inlineStr">
        <is>
          <t>switch 24 ports</t>
        </is>
      </c>
      <c r="D155" s="5" t="n">
        <v>31</v>
      </c>
      <c r="E155" s="5" t="n">
        <v>1968.04</v>
      </c>
      <c r="F155" s="5" t="inlineStr">
        <is>
          <t xml:space="preserve">  Client_006</t>
        </is>
      </c>
      <c r="G155" s="5" t="inlineStr">
        <is>
          <t>Validé</t>
        </is>
      </c>
      <c r="H155" s="5" t="inlineStr"/>
    </row>
    <row r="156">
      <c r="A156" s="5" t="inlineStr">
        <is>
          <t>CMD1137</t>
        </is>
      </c>
      <c r="B156" s="5" t="inlineStr">
        <is>
          <t>2024-01-15</t>
        </is>
      </c>
      <c r="C156" s="5" t="inlineStr">
        <is>
          <t>DISQUE SSD 1TO</t>
        </is>
      </c>
      <c r="D156" s="5" t="n">
        <v>31</v>
      </c>
      <c r="E156" s="5" t="n">
        <v>2949.47</v>
      </c>
      <c r="F156" s="5" t="inlineStr">
        <is>
          <t xml:space="preserve">Client_027  </t>
        </is>
      </c>
      <c r="G156" s="5" t="inlineStr">
        <is>
          <t>En cours</t>
        </is>
      </c>
      <c r="H156" s="5" t="inlineStr"/>
    </row>
    <row r="157">
      <c r="A157" s="5" t="inlineStr">
        <is>
          <t>CMD1138</t>
        </is>
      </c>
      <c r="B157" s="5" t="inlineStr">
        <is>
          <t>2024.01.15</t>
        </is>
      </c>
      <c r="C157" s="5" t="inlineStr">
        <is>
          <t>Écran DELL 24"</t>
        </is>
      </c>
      <c r="D157" s="5" t="n">
        <v>11</v>
      </c>
      <c r="E157" s="5" t="n">
        <v>2614.11</v>
      </c>
      <c r="F157" s="5" t="inlineStr">
        <is>
          <t>Client_039</t>
        </is>
      </c>
      <c r="G157" s="5" t="inlineStr">
        <is>
          <t>VALIDE</t>
        </is>
      </c>
      <c r="H157" s="5" t="inlineStr"/>
    </row>
    <row r="158">
      <c r="A158" s="5" t="inlineStr">
        <is>
          <t>CMD1139</t>
        </is>
      </c>
      <c r="B158" s="5" t="inlineStr">
        <is>
          <t>2024-01-15</t>
        </is>
      </c>
      <c r="C158" s="5" t="inlineStr">
        <is>
          <t>Webcam HD 1080p</t>
        </is>
      </c>
      <c r="D158" s="5" t="n">
        <v>18</v>
      </c>
      <c r="E158" s="5" t="n">
        <v>1818.88</v>
      </c>
      <c r="F158" s="5" t="inlineStr">
        <is>
          <t>Client_041</t>
        </is>
      </c>
      <c r="G158" s="5" t="inlineStr">
        <is>
          <t>valide</t>
        </is>
      </c>
      <c r="H158" s="5" t="inlineStr"/>
    </row>
    <row r="159">
      <c r="A159" s="5" t="inlineStr">
        <is>
          <t>CMD1140</t>
        </is>
      </c>
      <c r="B159" s="5" t="inlineStr">
        <is>
          <t>15-Jan-2024</t>
        </is>
      </c>
      <c r="C159" s="5" t="inlineStr">
        <is>
          <t xml:space="preserve">  Webcam HD 1080p </t>
        </is>
      </c>
      <c r="D159" s="5" t="inlineStr">
        <is>
          <t>9 unités</t>
        </is>
      </c>
      <c r="E159" s="5" t="n">
        <v>2623.19</v>
      </c>
      <c r="F159" s="5" t="inlineStr">
        <is>
          <t>Client_001</t>
        </is>
      </c>
      <c r="G159" s="5" t="inlineStr">
        <is>
          <t>livré</t>
        </is>
      </c>
      <c r="H159" s="5" t="inlineStr">
        <is>
          <t>Prioritaire</t>
        </is>
      </c>
    </row>
    <row r="160">
      <c r="A160" s="5" t="inlineStr">
        <is>
          <t>CMD1141</t>
        </is>
      </c>
      <c r="B160" s="5" t="inlineStr">
        <is>
          <t>2024-01-15</t>
        </is>
      </c>
      <c r="C160" s="5" t="inlineStr">
        <is>
          <t>scanner pro a4</t>
        </is>
      </c>
      <c r="D160" s="5" t="n">
        <v>10</v>
      </c>
      <c r="E160" s="5" t="n">
        <v>2336.51</v>
      </c>
      <c r="F160" s="5" t="inlineStr">
        <is>
          <t>Client_041</t>
        </is>
      </c>
      <c r="G160" s="5" t="inlineStr">
        <is>
          <t>EN COURS</t>
        </is>
      </c>
      <c r="H160" s="5" t="inlineStr"/>
    </row>
    <row r="161">
      <c r="A161" s="5" t="inlineStr">
        <is>
          <t>CMD1142</t>
        </is>
      </c>
      <c r="B161" s="5" t="inlineStr">
        <is>
          <t>2024-01-15</t>
        </is>
      </c>
      <c r="C161" s="5" t="inlineStr">
        <is>
          <t>ÉCRAN DELL 24"</t>
        </is>
      </c>
      <c r="D161" s="5" t="n">
        <v>29</v>
      </c>
      <c r="E161" s="5" t="n">
        <v>858.27</v>
      </c>
      <c r="F161" s="5" t="inlineStr">
        <is>
          <t>Client_026</t>
        </is>
      </c>
      <c r="G161" s="5" t="inlineStr">
        <is>
          <t>Validé</t>
        </is>
      </c>
      <c r="H161" s="5" t="inlineStr"/>
    </row>
    <row r="162">
      <c r="A162" s="5" t="inlineStr">
        <is>
          <t>CMD1143</t>
        </is>
      </c>
      <c r="B162" s="5" t="inlineStr">
        <is>
          <t>01-15-24</t>
        </is>
      </c>
      <c r="C162" s="5" t="inlineStr">
        <is>
          <t>Webcam HD 1080p</t>
        </is>
      </c>
      <c r="D162" s="5" t="n">
        <v>32</v>
      </c>
      <c r="E162" s="5" t="n">
        <v>2282.46</v>
      </c>
      <c r="F162" s="5" t="inlineStr">
        <is>
          <t>Client_006</t>
        </is>
      </c>
      <c r="G162" s="5" t="inlineStr">
        <is>
          <t>en_cours</t>
        </is>
      </c>
      <c r="H162" s="5" t="inlineStr"/>
    </row>
    <row r="163">
      <c r="A163" s="5" t="inlineStr">
        <is>
          <t>CMD1144</t>
        </is>
      </c>
      <c r="B163" s="5" t="inlineStr">
        <is>
          <t>15-Jan-2024</t>
        </is>
      </c>
      <c r="C163" s="5" t="inlineStr">
        <is>
          <t>Écran DELL 24"</t>
        </is>
      </c>
      <c r="D163" s="5" t="n">
        <v>8</v>
      </c>
      <c r="E163" s="5" t="n">
        <v>1496.49</v>
      </c>
      <c r="F163" s="5" t="inlineStr">
        <is>
          <t xml:space="preserve">  Client_049</t>
        </is>
      </c>
      <c r="G163" s="5" t="inlineStr">
        <is>
          <t>VALIDE</t>
        </is>
      </c>
      <c r="H163" s="5" t="inlineStr"/>
    </row>
    <row r="164">
      <c r="A164" s="5" t="inlineStr">
        <is>
          <t>CMD1145</t>
        </is>
      </c>
      <c r="B164" s="5" t="inlineStr">
        <is>
          <t>2024.01.15</t>
        </is>
      </c>
      <c r="C164" s="5" t="inlineStr">
        <is>
          <t xml:space="preserve">  Souris Logitech MX </t>
        </is>
      </c>
      <c r="D164" s="5" t="n">
        <v>30</v>
      </c>
      <c r="E164" s="5" t="n">
        <v>1203.72</v>
      </c>
      <c r="F164" s="5" t="inlineStr">
        <is>
          <t xml:space="preserve">Client_017  </t>
        </is>
      </c>
      <c r="G164" s="5" t="inlineStr">
        <is>
          <t>en_cours</t>
        </is>
      </c>
      <c r="H164" s="5" t="inlineStr"/>
    </row>
    <row r="165">
      <c r="A165" s="5" t="inlineStr">
        <is>
          <t>CMD1146</t>
        </is>
      </c>
      <c r="B165" s="5" t="inlineStr">
        <is>
          <t>15-Jan-2024</t>
        </is>
      </c>
      <c r="C165" s="5" t="inlineStr">
        <is>
          <t>écran dell 24"</t>
        </is>
      </c>
      <c r="D165" s="5" t="n">
        <v>35</v>
      </c>
      <c r="E165" s="5" t="n">
        <v>2553.3</v>
      </c>
      <c r="F165" s="5" t="inlineStr">
        <is>
          <t>Client_027</t>
        </is>
      </c>
      <c r="G165" s="5" t="inlineStr">
        <is>
          <t>VALIDE</t>
        </is>
      </c>
      <c r="H165" s="5" t="inlineStr"/>
    </row>
    <row r="166">
      <c r="A166" s="5" t="inlineStr">
        <is>
          <t>CMD1147</t>
        </is>
      </c>
      <c r="B166" s="5" t="inlineStr">
        <is>
          <t>2024-01-15</t>
        </is>
      </c>
      <c r="C166" s="5" t="inlineStr">
        <is>
          <t>ROUTEUR WIFI 6</t>
        </is>
      </c>
      <c r="D166" s="5" t="n">
        <v>26</v>
      </c>
      <c r="E166" s="5" t="n">
        <v>2517.63</v>
      </c>
      <c r="F166" s="5" t="inlineStr">
        <is>
          <t>Client_048</t>
        </is>
      </c>
      <c r="G166" s="5" t="inlineStr">
        <is>
          <t>en_cours</t>
        </is>
      </c>
      <c r="H166" s="5" t="inlineStr"/>
    </row>
    <row r="167">
      <c r="A167" s="5" t="inlineStr">
        <is>
          <t>CMD1148</t>
        </is>
      </c>
      <c r="B167" s="5" t="inlineStr">
        <is>
          <t>2024.01.15</t>
        </is>
      </c>
      <c r="C167" s="5" t="inlineStr">
        <is>
          <t>Routeur WiFi 6</t>
        </is>
      </c>
      <c r="D167" s="5" t="n">
        <v>14</v>
      </c>
      <c r="E167" s="5" t="n">
        <v>515.85</v>
      </c>
      <c r="F167" s="5" t="inlineStr">
        <is>
          <t>Client_014</t>
        </is>
      </c>
      <c r="G167" s="5" t="inlineStr">
        <is>
          <t>Validé</t>
        </is>
      </c>
      <c r="H167" s="5" t="inlineStr"/>
    </row>
    <row r="168">
      <c r="A168" s="5" t="inlineStr">
        <is>
          <t>CMD1149</t>
        </is>
      </c>
      <c r="B168" s="5" t="inlineStr">
        <is>
          <t>01-15-24</t>
        </is>
      </c>
      <c r="C168" s="5" t="inlineStr">
        <is>
          <t>Casque Audio Pro</t>
        </is>
      </c>
      <c r="D168" s="5" t="n">
        <v>13</v>
      </c>
      <c r="E168" s="5" t="n">
        <v>1332.57</v>
      </c>
      <c r="F168" s="5" t="inlineStr">
        <is>
          <t>Client_002</t>
        </is>
      </c>
      <c r="G168" s="5" t="inlineStr">
        <is>
          <t>EN COURS</t>
        </is>
      </c>
      <c r="H168" s="5" t="inlineStr"/>
    </row>
    <row r="169">
      <c r="A169" s="5" t="inlineStr">
        <is>
          <t>CMD1150</t>
        </is>
      </c>
      <c r="B169" s="5" t="inlineStr">
        <is>
          <t>15/01/2024</t>
        </is>
      </c>
      <c r="C169" s="5" t="inlineStr">
        <is>
          <t xml:space="preserve">  Disque SSD 1To </t>
        </is>
      </c>
      <c r="D169" s="5" t="n">
        <v>42</v>
      </c>
      <c r="E169" s="5" t="inlineStr">
        <is>
          <t>€1364.06</t>
        </is>
      </c>
      <c r="F169" s="5" t="inlineStr">
        <is>
          <t>Client_045</t>
        </is>
      </c>
      <c r="G169" s="5" t="inlineStr">
        <is>
          <t>Validé</t>
        </is>
      </c>
      <c r="H169" s="5" t="inlineStr"/>
    </row>
    <row r="170">
      <c r="A170" s="5" t="inlineStr">
        <is>
          <t>CMD1151</t>
        </is>
      </c>
      <c r="B170" s="5" t="inlineStr">
        <is>
          <t>15/01/2024</t>
        </is>
      </c>
      <c r="C170" s="5" t="inlineStr">
        <is>
          <t>webcam hd 1080p</t>
        </is>
      </c>
      <c r="D170" s="5" t="n">
        <v>22</v>
      </c>
      <c r="E170" s="5" t="n">
        <v>947.0599999999999</v>
      </c>
      <c r="F170" s="5" t="inlineStr">
        <is>
          <t>Client_018</t>
        </is>
      </c>
      <c r="G170" s="5" t="inlineStr">
        <is>
          <t>EN COURS</t>
        </is>
      </c>
      <c r="H170" s="5" t="inlineStr"/>
    </row>
    <row r="171">
      <c r="A171" s="5" t="inlineStr">
        <is>
          <t>CMD1152</t>
        </is>
      </c>
      <c r="B171" s="5" t="inlineStr">
        <is>
          <t>15-Jan-2024</t>
        </is>
      </c>
      <c r="C171" s="5" t="inlineStr">
        <is>
          <t>TABLETTE GRAPHIQUE</t>
        </is>
      </c>
      <c r="D171" s="5" t="n">
        <v>10</v>
      </c>
      <c r="E171" s="5" t="n">
        <v>697.5</v>
      </c>
      <c r="F171" s="5" t="inlineStr">
        <is>
          <t xml:space="preserve">  Client_035</t>
        </is>
      </c>
      <c r="G171" s="5" t="inlineStr">
        <is>
          <t>VALIDE</t>
        </is>
      </c>
      <c r="H171" s="5" t="inlineStr"/>
    </row>
    <row r="172">
      <c r="A172" s="5" t="inlineStr">
        <is>
          <t>CMD1153</t>
        </is>
      </c>
      <c r="B172" s="5" t="inlineStr">
        <is>
          <t>2024-01-15</t>
        </is>
      </c>
      <c r="C172" s="5" t="inlineStr">
        <is>
          <t>Imprimante Laser</t>
        </is>
      </c>
      <c r="D172" s="5" t="n">
        <v>46</v>
      </c>
      <c r="E172" s="5" t="n">
        <v>2476.76</v>
      </c>
      <c r="F172" s="5" t="inlineStr">
        <is>
          <t xml:space="preserve">Client_034  </t>
        </is>
      </c>
      <c r="G172" s="5" t="inlineStr">
        <is>
          <t>EN COURS</t>
        </is>
      </c>
      <c r="H172" s="5" t="inlineStr"/>
    </row>
    <row r="173">
      <c r="A173" s="5" t="inlineStr">
        <is>
          <t>CMD1154</t>
        </is>
      </c>
      <c r="B173" s="5" t="inlineStr">
        <is>
          <t>2024-01-15</t>
        </is>
      </c>
      <c r="C173" s="5" t="inlineStr">
        <is>
          <t>Laptop HP ProBook</t>
        </is>
      </c>
      <c r="D173" s="5" t="n">
        <v>26</v>
      </c>
      <c r="E173" s="5" t="n">
        <v>781.51</v>
      </c>
      <c r="F173" s="5" t="inlineStr">
        <is>
          <t>Client_019</t>
        </is>
      </c>
      <c r="G173" s="5" t="inlineStr">
        <is>
          <t>Livré</t>
        </is>
      </c>
      <c r="H173" s="5" t="inlineStr"/>
    </row>
    <row r="174">
      <c r="A174" s="5" t="inlineStr">
        <is>
          <t>CMD1155</t>
        </is>
      </c>
      <c r="B174" s="5" t="inlineStr">
        <is>
          <t>01-15-24</t>
        </is>
      </c>
      <c r="C174" s="5" t="inlineStr">
        <is>
          <t xml:space="preserve">  Écran DELL 24" </t>
        </is>
      </c>
      <c r="D174" s="5" t="n">
        <v>43</v>
      </c>
      <c r="E174" s="5" t="n">
        <v>1149.52</v>
      </c>
      <c r="F174" s="5" t="inlineStr">
        <is>
          <t>Client_036</t>
        </is>
      </c>
      <c r="G174" s="5" t="inlineStr">
        <is>
          <t>VALIDE</t>
        </is>
      </c>
      <c r="H174" s="5" t="inlineStr"/>
    </row>
    <row r="175">
      <c r="A175" s="5" t="inlineStr">
        <is>
          <t>CMD1156</t>
        </is>
      </c>
      <c r="B175" s="5" t="inlineStr">
        <is>
          <t>2024-01-15</t>
        </is>
      </c>
      <c r="C175" s="5" t="inlineStr">
        <is>
          <t>routeur wifi 6</t>
        </is>
      </c>
      <c r="D175" s="5" t="n">
        <v>36</v>
      </c>
      <c r="E175" s="5" t="n">
        <v>1453.29</v>
      </c>
      <c r="F175" s="5" t="inlineStr">
        <is>
          <t>Client_017</t>
        </is>
      </c>
      <c r="G175" s="5" t="inlineStr">
        <is>
          <t>Livré</t>
        </is>
      </c>
      <c r="H175" s="5" t="inlineStr"/>
    </row>
    <row r="176">
      <c r="A176" s="5" t="inlineStr">
        <is>
          <t>CMD1157</t>
        </is>
      </c>
      <c r="B176" s="5" t="inlineStr">
        <is>
          <t>15/01/2024</t>
        </is>
      </c>
      <c r="C176" s="5" t="inlineStr">
        <is>
          <t>WEBCAM HD 1080P</t>
        </is>
      </c>
      <c r="D176" s="5" t="n">
        <v>23</v>
      </c>
      <c r="E176" s="5" t="n">
        <v>1883.18</v>
      </c>
      <c r="F176" s="5" t="inlineStr">
        <is>
          <t>Client_007</t>
        </is>
      </c>
      <c r="G176" s="5" t="inlineStr">
        <is>
          <t>En cours</t>
        </is>
      </c>
      <c r="H176" s="5" t="inlineStr"/>
    </row>
    <row r="177">
      <c r="A177" s="5" t="inlineStr">
        <is>
          <t>CMD1158</t>
        </is>
      </c>
      <c r="B177" s="5" t="inlineStr">
        <is>
          <t>15/01/2024</t>
        </is>
      </c>
      <c r="C177" s="5" t="inlineStr">
        <is>
          <t>Clavier Mécanique RGB</t>
        </is>
      </c>
      <c r="D177" s="5" t="n">
        <v>17</v>
      </c>
      <c r="E177" s="5" t="n">
        <v>1041.24</v>
      </c>
      <c r="F177" s="5" t="inlineStr">
        <is>
          <t>Client_018</t>
        </is>
      </c>
      <c r="G177" s="5" t="inlineStr">
        <is>
          <t>Livré</t>
        </is>
      </c>
      <c r="H177" s="5" t="inlineStr"/>
    </row>
    <row r="178">
      <c r="A178" s="5" t="inlineStr">
        <is>
          <t>CMD1159</t>
        </is>
      </c>
      <c r="B178" s="5" t="inlineStr">
        <is>
          <t>2024-01-15</t>
        </is>
      </c>
      <c r="C178" s="5" t="inlineStr">
        <is>
          <t>Switch 24 ports</t>
        </is>
      </c>
      <c r="D178" s="5" t="n">
        <v>50</v>
      </c>
      <c r="E178" s="5" t="n">
        <v>237.14</v>
      </c>
      <c r="F178" s="5" t="inlineStr">
        <is>
          <t>Client_029</t>
        </is>
      </c>
      <c r="G178" s="5" t="inlineStr">
        <is>
          <t>livré</t>
        </is>
      </c>
      <c r="H178" s="5" t="inlineStr"/>
    </row>
    <row r="179">
      <c r="A179" s="5" t="inlineStr">
        <is>
          <t>CMD1160</t>
        </is>
      </c>
      <c r="B179" s="5" t="inlineStr">
        <is>
          <t>2024-01-15</t>
        </is>
      </c>
      <c r="C179" s="5" t="inlineStr">
        <is>
          <t xml:space="preserve">  Routeur WiFi 6 </t>
        </is>
      </c>
      <c r="D179" s="5" t="inlineStr">
        <is>
          <t>48 unités</t>
        </is>
      </c>
      <c r="E179" s="5" t="n">
        <v>1308.58</v>
      </c>
      <c r="F179" s="5" t="inlineStr">
        <is>
          <t xml:space="preserve">  Client_048</t>
        </is>
      </c>
      <c r="G179" s="5" t="inlineStr">
        <is>
          <t>Livré</t>
        </is>
      </c>
      <c r="H179" s="5" t="inlineStr"/>
    </row>
    <row r="180">
      <c r="A180" s="5" t="inlineStr">
        <is>
          <t>CMD1161</t>
        </is>
      </c>
      <c r="B180" s="5" t="inlineStr">
        <is>
          <t>2024-01-15</t>
        </is>
      </c>
      <c r="C180" s="5" t="inlineStr">
        <is>
          <t>scanner pro a4</t>
        </is>
      </c>
      <c r="D180" s="5" t="n">
        <v>13</v>
      </c>
      <c r="E180" s="5" t="n">
        <v>2419.45</v>
      </c>
      <c r="F180" s="5" t="inlineStr">
        <is>
          <t xml:space="preserve">Client_042  </t>
        </is>
      </c>
      <c r="G180" s="5" t="inlineStr">
        <is>
          <t>en_cours</t>
        </is>
      </c>
      <c r="H180" s="5" t="inlineStr"/>
    </row>
    <row r="181">
      <c r="A181" s="5" t="inlineStr">
        <is>
          <t>CMD1162</t>
        </is>
      </c>
      <c r="B181" s="5" t="inlineStr">
        <is>
          <t>15-Jan-2024</t>
        </is>
      </c>
      <c r="C181" s="5" t="inlineStr">
        <is>
          <t>ROUTEUR WIFI 6</t>
        </is>
      </c>
      <c r="D181" s="5" t="n">
        <v>36</v>
      </c>
      <c r="E181" s="5" t="n">
        <v>2690.54</v>
      </c>
      <c r="F181" s="5" t="inlineStr">
        <is>
          <t>Client_044</t>
        </is>
      </c>
      <c r="G181" s="5" t="inlineStr">
        <is>
          <t>EN COURS</t>
        </is>
      </c>
      <c r="H181" s="5" t="inlineStr"/>
    </row>
    <row r="182">
      <c r="A182" s="5" t="inlineStr">
        <is>
          <t>CMD1163</t>
        </is>
      </c>
      <c r="B182" s="5" t="inlineStr">
        <is>
          <t>15/01/2024</t>
        </is>
      </c>
      <c r="C182" s="5" t="inlineStr">
        <is>
          <t>Casque Audio Pro</t>
        </is>
      </c>
      <c r="D182" s="5" t="n">
        <v>15</v>
      </c>
      <c r="E182" s="5" t="n">
        <v>2614.58</v>
      </c>
      <c r="F182" s="5" t="inlineStr">
        <is>
          <t>Client_006</t>
        </is>
      </c>
      <c r="G182" s="5" t="inlineStr">
        <is>
          <t>Livré</t>
        </is>
      </c>
      <c r="H182" s="5" t="inlineStr"/>
    </row>
    <row r="183">
      <c r="A183" s="5" t="inlineStr">
        <is>
          <t>CMD1164</t>
        </is>
      </c>
      <c r="B183" s="5" t="inlineStr">
        <is>
          <t>01-15-24</t>
        </is>
      </c>
      <c r="C183" s="5" t="inlineStr">
        <is>
          <t>Souris Logitech MX</t>
        </is>
      </c>
      <c r="D183" s="5" t="n">
        <v>31</v>
      </c>
      <c r="E183" s="5" t="n">
        <v>579.12</v>
      </c>
      <c r="F183" s="5" t="inlineStr">
        <is>
          <t>Client_046</t>
        </is>
      </c>
      <c r="G183" s="5" t="inlineStr">
        <is>
          <t>en_cours</t>
        </is>
      </c>
      <c r="H183" s="5" t="inlineStr"/>
    </row>
    <row r="184">
      <c r="A184" s="5" t="inlineStr">
        <is>
          <t>CMD1165</t>
        </is>
      </c>
      <c r="B184" s="5" t="inlineStr">
        <is>
          <t>15/01/2024</t>
        </is>
      </c>
      <c r="C184" s="5" t="inlineStr">
        <is>
          <t xml:space="preserve">  Webcam HD 1080p </t>
        </is>
      </c>
      <c r="D184" s="5" t="n">
        <v>4</v>
      </c>
      <c r="E184" s="5" t="inlineStr">
        <is>
          <t>€886.17</t>
        </is>
      </c>
      <c r="F184" s="5" t="inlineStr">
        <is>
          <t>Client_046</t>
        </is>
      </c>
      <c r="G184" s="5" t="inlineStr">
        <is>
          <t>en_cours</t>
        </is>
      </c>
      <c r="H184" s="5" t="inlineStr"/>
    </row>
    <row r="185">
      <c r="A185" s="5" t="inlineStr">
        <is>
          <t>CMD1166</t>
        </is>
      </c>
      <c r="B185" s="5" t="inlineStr">
        <is>
          <t>15/01/2024</t>
        </is>
      </c>
      <c r="C185" s="5" t="inlineStr">
        <is>
          <t>écran dell 24"</t>
        </is>
      </c>
      <c r="D185" s="5" t="n">
        <v>15</v>
      </c>
      <c r="E185" s="5" t="n">
        <v>1151.59</v>
      </c>
      <c r="F185" s="5" t="inlineStr">
        <is>
          <t>Client_016</t>
        </is>
      </c>
      <c r="G185" s="5" t="inlineStr">
        <is>
          <t>VALIDE</t>
        </is>
      </c>
      <c r="H185" s="5" t="inlineStr"/>
    </row>
    <row r="186">
      <c r="A186" s="5" t="inlineStr">
        <is>
          <t>CMD1167</t>
        </is>
      </c>
      <c r="B186" s="5" t="inlineStr">
        <is>
          <t>01-15-24</t>
        </is>
      </c>
      <c r="C186" s="5" t="inlineStr">
        <is>
          <t>TABLETTE GRAPHIQUE</t>
        </is>
      </c>
      <c r="D186" s="5" t="n">
        <v>4</v>
      </c>
      <c r="E186" s="5" t="n">
        <v>1433.16</v>
      </c>
      <c r="F186" s="5" t="inlineStr">
        <is>
          <t>Client_016</t>
        </is>
      </c>
      <c r="G186" s="5" t="inlineStr">
        <is>
          <t>Livré</t>
        </is>
      </c>
      <c r="H186" s="5" t="inlineStr"/>
    </row>
    <row r="187">
      <c r="A187" s="5" t="inlineStr">
        <is>
          <t>CMD1168</t>
        </is>
      </c>
      <c r="B187" s="5" t="inlineStr">
        <is>
          <t>01-15-24</t>
        </is>
      </c>
      <c r="C187" s="5" t="inlineStr">
        <is>
          <t>Disque SSD 1To</t>
        </is>
      </c>
      <c r="D187" s="5" t="n">
        <v>43</v>
      </c>
      <c r="E187" s="5" t="n">
        <v>2998.61</v>
      </c>
      <c r="F187" s="5" t="inlineStr">
        <is>
          <t xml:space="preserve">  Client_048</t>
        </is>
      </c>
      <c r="G187" s="5" t="inlineStr">
        <is>
          <t>En cours</t>
        </is>
      </c>
      <c r="H187" s="5" t="inlineStr"/>
    </row>
    <row r="188">
      <c r="A188" s="5" t="inlineStr">
        <is>
          <t>CMD1169</t>
        </is>
      </c>
      <c r="B188" s="5" t="inlineStr">
        <is>
          <t>2024.01.15</t>
        </is>
      </c>
      <c r="C188" s="5" t="inlineStr">
        <is>
          <t>Imprimante Laser</t>
        </is>
      </c>
      <c r="D188" s="5" t="n">
        <v>47</v>
      </c>
      <c r="E188" s="5" t="n">
        <v>280.74</v>
      </c>
      <c r="F188" s="5" t="inlineStr">
        <is>
          <t xml:space="preserve">Client_039  </t>
        </is>
      </c>
      <c r="G188" s="5" t="inlineStr">
        <is>
          <t>en_cours</t>
        </is>
      </c>
      <c r="H188" s="5" t="inlineStr"/>
    </row>
    <row r="189">
      <c r="A189" s="5" t="inlineStr">
        <is>
          <t>CMD1170</t>
        </is>
      </c>
      <c r="B189" s="5" t="inlineStr">
        <is>
          <t>2024-01-15</t>
        </is>
      </c>
      <c r="C189" s="5" t="inlineStr">
        <is>
          <t xml:space="preserve">  Laptop HP ProBook </t>
        </is>
      </c>
      <c r="D189" s="5" t="n">
        <v>16</v>
      </c>
      <c r="E189" s="5" t="n">
        <v>991.11</v>
      </c>
      <c r="F189" s="5" t="inlineStr">
        <is>
          <t>Client_014</t>
        </is>
      </c>
      <c r="G189" s="5" t="inlineStr">
        <is>
          <t>livré</t>
        </is>
      </c>
      <c r="H189" s="5" t="inlineStr">
        <is>
          <t>Prioritaire</t>
        </is>
      </c>
    </row>
    <row r="190">
      <c r="A190" s="5" t="inlineStr">
        <is>
          <t>CMD1171</t>
        </is>
      </c>
      <c r="B190" s="5" t="inlineStr">
        <is>
          <t>01-15-24</t>
        </is>
      </c>
      <c r="C190" s="5" t="inlineStr">
        <is>
          <t>casque audio pro</t>
        </is>
      </c>
      <c r="D190" s="5" t="n">
        <v>4</v>
      </c>
      <c r="E190" s="5" t="n">
        <v>1566.17</v>
      </c>
      <c r="F190" s="5" t="inlineStr">
        <is>
          <t>Client_007</t>
        </is>
      </c>
      <c r="G190" s="5" t="inlineStr">
        <is>
          <t>Validé</t>
        </is>
      </c>
      <c r="H190" s="5" t="inlineStr"/>
    </row>
    <row r="191">
      <c r="A191" s="5" t="inlineStr">
        <is>
          <t>CMD1172</t>
        </is>
      </c>
      <c r="B191" s="5" t="inlineStr">
        <is>
          <t>2024.01.15</t>
        </is>
      </c>
      <c r="C191" s="5" t="inlineStr">
        <is>
          <t>DISQUE SSD 1TO</t>
        </is>
      </c>
      <c r="D191" s="5" t="n">
        <v>23</v>
      </c>
      <c r="E191" s="5" t="n">
        <v>1867.68</v>
      </c>
      <c r="F191" s="5" t="inlineStr">
        <is>
          <t>Client_013</t>
        </is>
      </c>
      <c r="G191" s="5" t="inlineStr">
        <is>
          <t>livré</t>
        </is>
      </c>
      <c r="H191" s="5" t="inlineStr"/>
    </row>
    <row r="192">
      <c r="A192" s="5" t="inlineStr">
        <is>
          <t>CMD1173</t>
        </is>
      </c>
      <c r="B192" s="5" t="inlineStr">
        <is>
          <t>2024.01.15</t>
        </is>
      </c>
      <c r="C192" s="5" t="inlineStr">
        <is>
          <t>Tablette Graphique</t>
        </is>
      </c>
      <c r="D192" s="5" t="n">
        <v>47</v>
      </c>
      <c r="E192" s="5" t="n">
        <v>1195.93</v>
      </c>
      <c r="F192" s="5" t="inlineStr">
        <is>
          <t>Client_005</t>
        </is>
      </c>
      <c r="G192" s="5" t="inlineStr">
        <is>
          <t>Livré</t>
        </is>
      </c>
      <c r="H192" s="5" t="inlineStr"/>
    </row>
    <row r="193">
      <c r="A193" s="5" t="inlineStr">
        <is>
          <t>CMD1174</t>
        </is>
      </c>
      <c r="B193" s="5" t="inlineStr">
        <is>
          <t>2024.01.15</t>
        </is>
      </c>
      <c r="C193" s="5" t="inlineStr">
        <is>
          <t>Casque Audio Pro</t>
        </is>
      </c>
      <c r="D193" s="5" t="n">
        <v>9</v>
      </c>
      <c r="E193" s="5" t="n">
        <v>2188.52</v>
      </c>
      <c r="F193" s="5" t="inlineStr">
        <is>
          <t>Client_020</t>
        </is>
      </c>
      <c r="G193" s="5" t="inlineStr">
        <is>
          <t>Livré</t>
        </is>
      </c>
      <c r="H193" s="5" t="inlineStr"/>
    </row>
    <row r="194">
      <c r="A194" s="5" t="inlineStr">
        <is>
          <t>CMD1175</t>
        </is>
      </c>
      <c r="B194" s="5" t="inlineStr">
        <is>
          <t>2024.01.15</t>
        </is>
      </c>
      <c r="C194" s="5" t="inlineStr">
        <is>
          <t xml:space="preserve">  Imprimante Laser </t>
        </is>
      </c>
      <c r="D194" s="5" t="n">
        <v>11</v>
      </c>
      <c r="E194" s="5" t="n">
        <v>1052.27</v>
      </c>
      <c r="F194" s="5" t="inlineStr">
        <is>
          <t>Client_047</t>
        </is>
      </c>
      <c r="G194" s="5" t="inlineStr">
        <is>
          <t>Validé</t>
        </is>
      </c>
      <c r="H194" s="5" t="inlineStr"/>
    </row>
    <row r="195">
      <c r="A195" s="5" t="inlineStr">
        <is>
          <t>CMD1176</t>
        </is>
      </c>
      <c r="B195" s="5" t="inlineStr">
        <is>
          <t>01-15-24</t>
        </is>
      </c>
      <c r="C195" s="5" t="inlineStr">
        <is>
          <t>tablette graphique</t>
        </is>
      </c>
      <c r="D195" s="5" t="n">
        <v>45</v>
      </c>
      <c r="E195" s="5" t="n">
        <v>862.79</v>
      </c>
      <c r="F195" s="5" t="inlineStr">
        <is>
          <t xml:space="preserve">  Client_033</t>
        </is>
      </c>
      <c r="G195" s="5" t="inlineStr">
        <is>
          <t>en_cours</t>
        </is>
      </c>
      <c r="H195" s="5" t="inlineStr"/>
    </row>
    <row r="196">
      <c r="A196" s="5" t="inlineStr">
        <is>
          <t>CMD1177</t>
        </is>
      </c>
      <c r="B196" s="5" t="inlineStr">
        <is>
          <t>15-Jan-2024</t>
        </is>
      </c>
      <c r="C196" s="5" t="inlineStr">
        <is>
          <t>IMPRIMANTE LASER</t>
        </is>
      </c>
      <c r="D196" s="5" t="n">
        <v>37</v>
      </c>
      <c r="E196" s="5" t="n">
        <v>2058.29</v>
      </c>
      <c r="F196" s="5" t="inlineStr">
        <is>
          <t xml:space="preserve">Client_001  </t>
        </is>
      </c>
      <c r="G196" s="5" t="inlineStr">
        <is>
          <t>En cours</t>
        </is>
      </c>
      <c r="H196" s="5" t="inlineStr"/>
    </row>
    <row r="197">
      <c r="A197" s="5" t="inlineStr">
        <is>
          <t>CMD1178</t>
        </is>
      </c>
      <c r="B197" s="5" t="inlineStr">
        <is>
          <t>15/01/2024</t>
        </is>
      </c>
      <c r="C197" s="5" t="inlineStr">
        <is>
          <t>Laptop HP ProBook</t>
        </is>
      </c>
      <c r="D197" s="5" t="n">
        <v>21</v>
      </c>
      <c r="E197" s="5" t="n">
        <v>2705.34</v>
      </c>
      <c r="F197" s="5" t="inlineStr">
        <is>
          <t>Client_029</t>
        </is>
      </c>
      <c r="G197" s="5" t="inlineStr">
        <is>
          <t>livré</t>
        </is>
      </c>
      <c r="H197" s="5" t="inlineStr"/>
    </row>
    <row r="198">
      <c r="A198" s="5" t="inlineStr">
        <is>
          <t>CMD1179</t>
        </is>
      </c>
      <c r="B198" s="5" t="inlineStr">
        <is>
          <t>2024.01.15</t>
        </is>
      </c>
      <c r="C198" s="5" t="inlineStr">
        <is>
          <t>Clavier Mécanique RGB</t>
        </is>
      </c>
      <c r="D198" s="5" t="n">
        <v>6</v>
      </c>
      <c r="E198" s="5" t="n">
        <v>2620.4</v>
      </c>
      <c r="F198" s="5" t="inlineStr">
        <is>
          <t>Client_022</t>
        </is>
      </c>
      <c r="G198" s="5" t="inlineStr">
        <is>
          <t>en_cours</t>
        </is>
      </c>
      <c r="H198" s="5" t="inlineStr"/>
    </row>
    <row r="199">
      <c r="A199" s="5" t="inlineStr">
        <is>
          <t>CMD1180</t>
        </is>
      </c>
      <c r="B199" s="5" t="inlineStr">
        <is>
          <t>2024.01.15</t>
        </is>
      </c>
      <c r="C199" s="5" t="inlineStr">
        <is>
          <t xml:space="preserve">  Souris Logitech MX </t>
        </is>
      </c>
      <c r="D199" s="5" t="inlineStr">
        <is>
          <t>10 unités</t>
        </is>
      </c>
      <c r="E199" s="5" t="inlineStr">
        <is>
          <t>€917.65</t>
        </is>
      </c>
      <c r="F199" s="5" t="inlineStr">
        <is>
          <t>Client_043</t>
        </is>
      </c>
      <c r="G199" s="5" t="inlineStr">
        <is>
          <t>EN COURS</t>
        </is>
      </c>
      <c r="H199" s="5" t="inlineStr">
        <is>
          <t>Prioritaire</t>
        </is>
      </c>
    </row>
    <row r="200">
      <c r="A200" s="5" t="inlineStr">
        <is>
          <t>CMD1181</t>
        </is>
      </c>
      <c r="B200" s="5" t="inlineStr">
        <is>
          <t>15-Jan-2024</t>
        </is>
      </c>
      <c r="C200" s="5" t="inlineStr">
        <is>
          <t>laptop hp probook</t>
        </is>
      </c>
      <c r="D200" s="5" t="n">
        <v>18</v>
      </c>
      <c r="E200" s="5" t="n">
        <v>1569.44</v>
      </c>
      <c r="F200" s="5" t="inlineStr">
        <is>
          <t>Client_021</t>
        </is>
      </c>
      <c r="G200" s="5" t="inlineStr">
        <is>
          <t>Livré</t>
        </is>
      </c>
      <c r="H200" s="5" t="inlineStr"/>
    </row>
    <row r="201">
      <c r="A201" s="5" t="inlineStr">
        <is>
          <t>CMD1182</t>
        </is>
      </c>
      <c r="B201" s="5" t="inlineStr">
        <is>
          <t>01-15-24</t>
        </is>
      </c>
      <c r="C201" s="5" t="inlineStr">
        <is>
          <t>WEBCAM HD 1080P</t>
        </is>
      </c>
      <c r="D201" s="5" t="n">
        <v>16</v>
      </c>
      <c r="E201" s="5" t="n">
        <v>1627.92</v>
      </c>
      <c r="F201" s="5" t="inlineStr">
        <is>
          <t>Client_027</t>
        </is>
      </c>
      <c r="G201" s="5" t="inlineStr">
        <is>
          <t>EN COURS</t>
        </is>
      </c>
      <c r="H201" s="5" t="inlineStr"/>
    </row>
    <row r="202">
      <c r="A202" s="5" t="inlineStr">
        <is>
          <t>CMD1183</t>
        </is>
      </c>
      <c r="B202" s="5" t="inlineStr">
        <is>
          <t>2024.01.15</t>
        </is>
      </c>
      <c r="C202" s="5" t="inlineStr">
        <is>
          <t>Clavier Mécanique RGB</t>
        </is>
      </c>
      <c r="D202" s="5" t="n">
        <v>12</v>
      </c>
      <c r="E202" s="5" t="n">
        <v>1828.71</v>
      </c>
      <c r="F202" s="5" t="inlineStr">
        <is>
          <t>Client_040</t>
        </is>
      </c>
      <c r="G202" s="5" t="inlineStr">
        <is>
          <t>EN COURS</t>
        </is>
      </c>
      <c r="H202" s="5" t="inlineStr"/>
    </row>
    <row r="203">
      <c r="A203" s="5" t="inlineStr">
        <is>
          <t>CMD1184</t>
        </is>
      </c>
      <c r="B203" s="5" t="inlineStr">
        <is>
          <t>15/01/2024</t>
        </is>
      </c>
      <c r="C203" s="5" t="inlineStr">
        <is>
          <t>Imprimante Laser</t>
        </is>
      </c>
      <c r="D203" s="5" t="n">
        <v>45</v>
      </c>
      <c r="E203" s="5" t="n">
        <v>2819.77</v>
      </c>
      <c r="F203" s="5" t="inlineStr">
        <is>
          <t xml:space="preserve">  Client_030</t>
        </is>
      </c>
      <c r="G203" s="5" t="inlineStr">
        <is>
          <t>valide</t>
        </is>
      </c>
      <c r="H203" s="5" t="inlineStr"/>
    </row>
    <row r="204">
      <c r="A204" s="5" t="inlineStr">
        <is>
          <t>CMD1185</t>
        </is>
      </c>
      <c r="B204" s="5" t="inlineStr">
        <is>
          <t>01-15-24</t>
        </is>
      </c>
      <c r="C204" s="5" t="inlineStr">
        <is>
          <t xml:space="preserve">  Imprimante Laser </t>
        </is>
      </c>
      <c r="D204" s="5" t="n">
        <v>23</v>
      </c>
      <c r="E204" s="5" t="n">
        <v>726.73</v>
      </c>
      <c r="F204" s="5" t="inlineStr">
        <is>
          <t xml:space="preserve">Client_021  </t>
        </is>
      </c>
      <c r="G204" s="5" t="inlineStr">
        <is>
          <t>livré</t>
        </is>
      </c>
      <c r="H204" s="5" t="inlineStr"/>
    </row>
    <row r="205">
      <c r="A205" s="5" t="inlineStr">
        <is>
          <t>CMD1186</t>
        </is>
      </c>
      <c r="B205" s="5" t="inlineStr">
        <is>
          <t>2024.01.15</t>
        </is>
      </c>
      <c r="C205" s="5" t="inlineStr">
        <is>
          <t>clavier mécanique rgb</t>
        </is>
      </c>
      <c r="D205" s="5" t="n">
        <v>2</v>
      </c>
      <c r="E205" s="5" t="n">
        <v>1078.48</v>
      </c>
      <c r="F205" s="5" t="inlineStr">
        <is>
          <t>Client_016</t>
        </is>
      </c>
      <c r="G205" s="5" t="inlineStr">
        <is>
          <t>valide</t>
        </is>
      </c>
      <c r="H205" s="5" t="inlineStr"/>
    </row>
    <row r="206">
      <c r="A206" s="5" t="inlineStr">
        <is>
          <t>CMD1187</t>
        </is>
      </c>
      <c r="B206" s="5" t="inlineStr">
        <is>
          <t>15/01/2024</t>
        </is>
      </c>
      <c r="C206" s="5" t="inlineStr">
        <is>
          <t>DISQUE SSD 1TO</t>
        </is>
      </c>
      <c r="D206" s="5" t="n">
        <v>30</v>
      </c>
      <c r="E206" s="5" t="n">
        <v>2843.88</v>
      </c>
      <c r="F206" s="5" t="inlineStr">
        <is>
          <t>Client_028</t>
        </is>
      </c>
      <c r="G206" s="5" t="inlineStr">
        <is>
          <t>Livré</t>
        </is>
      </c>
      <c r="H206" s="5" t="inlineStr"/>
    </row>
    <row r="207">
      <c r="A207" s="5" t="inlineStr">
        <is>
          <t>CMD1188</t>
        </is>
      </c>
      <c r="B207" s="5" t="inlineStr">
        <is>
          <t>15-Jan-2024</t>
        </is>
      </c>
      <c r="C207" s="5" t="inlineStr">
        <is>
          <t>Souris Logitech MX</t>
        </is>
      </c>
      <c r="D207" s="5" t="n">
        <v>46</v>
      </c>
      <c r="E207" s="5" t="n">
        <v>2343.46</v>
      </c>
      <c r="F207" s="5" t="inlineStr">
        <is>
          <t>Client_019</t>
        </is>
      </c>
      <c r="G207" s="5" t="inlineStr">
        <is>
          <t>en_cours</t>
        </is>
      </c>
      <c r="H207" s="5" t="inlineStr"/>
    </row>
    <row r="208">
      <c r="A208" s="5" t="inlineStr">
        <is>
          <t>CMD1189</t>
        </is>
      </c>
      <c r="B208" s="5" t="inlineStr">
        <is>
          <t>15/01/2024</t>
        </is>
      </c>
      <c r="C208" s="5" t="inlineStr">
        <is>
          <t>Souris Logitech MX</t>
        </is>
      </c>
      <c r="D208" s="5" t="n">
        <v>12</v>
      </c>
      <c r="E208" s="5" t="n">
        <v>1185.2</v>
      </c>
      <c r="F208" s="5" t="inlineStr">
        <is>
          <t>Client_024</t>
        </is>
      </c>
      <c r="G208" s="5" t="inlineStr">
        <is>
          <t>valide</t>
        </is>
      </c>
      <c r="H208" s="5" t="inlineStr"/>
    </row>
    <row r="209">
      <c r="A209" s="5" t="inlineStr">
        <is>
          <t>CMD1190</t>
        </is>
      </c>
      <c r="B209" s="5" t="inlineStr">
        <is>
          <t>01-15-24</t>
        </is>
      </c>
      <c r="C209" s="5" t="inlineStr">
        <is>
          <t xml:space="preserve">  Casque Audio Pro </t>
        </is>
      </c>
      <c r="D209" s="5" t="n">
        <v>15</v>
      </c>
      <c r="E209" s="5" t="n">
        <v>1965.45</v>
      </c>
      <c r="F209" s="5" t="inlineStr">
        <is>
          <t>Client_031</t>
        </is>
      </c>
      <c r="G209" s="5" t="inlineStr">
        <is>
          <t>livré</t>
        </is>
      </c>
      <c r="H209" s="5" t="inlineStr">
        <is>
          <t>Standard</t>
        </is>
      </c>
    </row>
    <row r="210">
      <c r="A210" s="5" t="inlineStr">
        <is>
          <t>CMD1191</t>
        </is>
      </c>
      <c r="B210" s="5" t="inlineStr">
        <is>
          <t>15/01/2024</t>
        </is>
      </c>
      <c r="C210" s="5" t="inlineStr">
        <is>
          <t>souris logitech mx</t>
        </is>
      </c>
      <c r="D210" s="5" t="n">
        <v>17</v>
      </c>
      <c r="E210" s="5" t="n">
        <v>2801.67</v>
      </c>
      <c r="F210" s="5" t="inlineStr">
        <is>
          <t>Client_002</t>
        </is>
      </c>
      <c r="G210" s="5" t="inlineStr">
        <is>
          <t>Validé</t>
        </is>
      </c>
      <c r="H210" s="5" t="inlineStr"/>
    </row>
    <row r="211">
      <c r="A211" s="5" t="inlineStr">
        <is>
          <t>CMD1192</t>
        </is>
      </c>
      <c r="B211" s="5" t="inlineStr">
        <is>
          <t>01-15-24</t>
        </is>
      </c>
      <c r="C211" s="5" t="inlineStr">
        <is>
          <t>WEBCAM HD 1080P</t>
        </is>
      </c>
      <c r="D211" s="5" t="n">
        <v>29</v>
      </c>
      <c r="E211" s="5" t="n">
        <v>2349.12</v>
      </c>
      <c r="F211" s="5" t="inlineStr">
        <is>
          <t xml:space="preserve">  Client_024</t>
        </is>
      </c>
      <c r="G211" s="5" t="inlineStr">
        <is>
          <t>valide</t>
        </is>
      </c>
      <c r="H211" s="5" t="inlineStr"/>
    </row>
    <row r="212">
      <c r="A212" s="5" t="inlineStr">
        <is>
          <t>CMD1193</t>
        </is>
      </c>
      <c r="B212" s="5" t="inlineStr">
        <is>
          <t>01-15-24</t>
        </is>
      </c>
      <c r="C212" s="5" t="inlineStr">
        <is>
          <t>Tablette Graphique</t>
        </is>
      </c>
      <c r="D212" s="5" t="n">
        <v>35</v>
      </c>
      <c r="E212" s="5" t="n">
        <v>2087.24</v>
      </c>
      <c r="F212" s="5" t="inlineStr">
        <is>
          <t xml:space="preserve">Client_009  </t>
        </is>
      </c>
      <c r="G212" s="5" t="inlineStr">
        <is>
          <t>Validé</t>
        </is>
      </c>
      <c r="H212" s="5" t="inlineStr"/>
    </row>
    <row r="213">
      <c r="A213" s="5" t="inlineStr">
        <is>
          <t>CMD1194</t>
        </is>
      </c>
      <c r="B213" s="5" t="inlineStr">
        <is>
          <t>15/01/2024</t>
        </is>
      </c>
      <c r="C213" s="5" t="inlineStr">
        <is>
          <t>Souris Logitech MX</t>
        </is>
      </c>
      <c r="D213" s="5" t="n">
        <v>2</v>
      </c>
      <c r="E213" s="5" t="n">
        <v>1923.81</v>
      </c>
      <c r="F213" s="5" t="inlineStr">
        <is>
          <t>Client_003</t>
        </is>
      </c>
      <c r="G213" s="5" t="inlineStr">
        <is>
          <t>Livré</t>
        </is>
      </c>
      <c r="H213" s="5" t="inlineStr"/>
    </row>
    <row r="214">
      <c r="A214" s="5" t="inlineStr">
        <is>
          <t>CMD1195</t>
        </is>
      </c>
      <c r="B214" s="5" t="inlineStr">
        <is>
          <t>15/01/2024</t>
        </is>
      </c>
      <c r="C214" s="5" t="inlineStr">
        <is>
          <t xml:space="preserve">  Imprimante Laser </t>
        </is>
      </c>
      <c r="D214" s="5" t="n">
        <v>18</v>
      </c>
      <c r="E214" s="5" t="inlineStr">
        <is>
          <t>€2550.2</t>
        </is>
      </c>
      <c r="F214" s="5" t="inlineStr">
        <is>
          <t>Client_024</t>
        </is>
      </c>
      <c r="G214" s="5" t="inlineStr">
        <is>
          <t>valide</t>
        </is>
      </c>
      <c r="H214" s="5" t="inlineStr"/>
    </row>
    <row r="215">
      <c r="A215" s="5" t="inlineStr">
        <is>
          <t>CMD1196</t>
        </is>
      </c>
      <c r="B215" s="5" t="inlineStr">
        <is>
          <t>2024-01-15</t>
        </is>
      </c>
      <c r="C215" s="5" t="inlineStr">
        <is>
          <t>disque ssd 1to</t>
        </is>
      </c>
      <c r="D215" s="5" t="n">
        <v>16</v>
      </c>
      <c r="E215" s="5" t="n">
        <v>508</v>
      </c>
      <c r="F215" s="5" t="inlineStr">
        <is>
          <t>Client_009</t>
        </is>
      </c>
      <c r="G215" s="5" t="inlineStr">
        <is>
          <t>livré</t>
        </is>
      </c>
      <c r="H215" s="5" t="inlineStr"/>
    </row>
    <row r="216">
      <c r="A216" s="5" t="inlineStr">
        <is>
          <t>CMD1197</t>
        </is>
      </c>
      <c r="B216" s="5" t="inlineStr">
        <is>
          <t>2024-01-15</t>
        </is>
      </c>
      <c r="C216" s="5" t="inlineStr">
        <is>
          <t>CLAVIER MÉCANIQUE RGB</t>
        </is>
      </c>
      <c r="D216" s="5" t="n">
        <v>50</v>
      </c>
      <c r="E216" s="5" t="n">
        <v>1355.63</v>
      </c>
      <c r="F216" s="5" t="inlineStr">
        <is>
          <t>Client_027</t>
        </is>
      </c>
      <c r="G216" s="5" t="inlineStr">
        <is>
          <t>en_cours</t>
        </is>
      </c>
      <c r="H216" s="5" t="inlineStr"/>
    </row>
    <row r="217">
      <c r="A217" s="5" t="inlineStr">
        <is>
          <t>CMD1198</t>
        </is>
      </c>
      <c r="B217" s="5" t="inlineStr">
        <is>
          <t>15/01/2024</t>
        </is>
      </c>
      <c r="C217" s="5" t="inlineStr">
        <is>
          <t>Souris Logitech MX</t>
        </is>
      </c>
      <c r="D217" s="5" t="n">
        <v>15</v>
      </c>
      <c r="E217" s="5" t="n">
        <v>963.85</v>
      </c>
      <c r="F217" s="5" t="inlineStr">
        <is>
          <t>Client_021</t>
        </is>
      </c>
      <c r="G217" s="5" t="inlineStr">
        <is>
          <t>Livré</t>
        </is>
      </c>
      <c r="H217" s="5" t="inlineStr"/>
    </row>
    <row r="218">
      <c r="A218" s="5" t="inlineStr">
        <is>
          <t>CMD1199</t>
        </is>
      </c>
      <c r="B218" s="5" t="inlineStr">
        <is>
          <t>15-Jan-2024</t>
        </is>
      </c>
      <c r="C218" s="5" t="inlineStr">
        <is>
          <t>Imprimante Laser</t>
        </is>
      </c>
      <c r="D218" s="5" t="n">
        <v>38</v>
      </c>
      <c r="E218" s="5" t="n">
        <v>1550.68</v>
      </c>
      <c r="F218" s="5" t="inlineStr">
        <is>
          <t>Client_045</t>
        </is>
      </c>
      <c r="G218" s="5" t="inlineStr">
        <is>
          <t>En cours</t>
        </is>
      </c>
      <c r="H218" s="5" t="inlineStr"/>
    </row>
    <row r="219">
      <c r="A219" s="5" t="inlineStr">
        <is>
          <t>CMD1200</t>
        </is>
      </c>
      <c r="B219" s="5" t="inlineStr">
        <is>
          <t>15/01/2024</t>
        </is>
      </c>
      <c r="C219" s="5" t="inlineStr">
        <is>
          <t xml:space="preserve">  Switch 24 ports </t>
        </is>
      </c>
      <c r="D219" s="5" t="inlineStr">
        <is>
          <t>3 unités</t>
        </is>
      </c>
      <c r="E219" s="5" t="n">
        <v>1967.48</v>
      </c>
      <c r="F219" s="5" t="inlineStr">
        <is>
          <t xml:space="preserve">  Client_016</t>
        </is>
      </c>
      <c r="G219" s="5" t="inlineStr">
        <is>
          <t>valide</t>
        </is>
      </c>
      <c r="H219" s="5" t="inlineStr">
        <is>
          <t>Urgent</t>
        </is>
      </c>
    </row>
    <row r="220">
      <c r="A220" s="5" t="inlineStr">
        <is>
          <t>CMD1201</t>
        </is>
      </c>
      <c r="B220" s="5" t="inlineStr">
        <is>
          <t>2024-01-15</t>
        </is>
      </c>
      <c r="C220" s="5" t="inlineStr">
        <is>
          <t>laptop hp probook</t>
        </is>
      </c>
      <c r="D220" s="5" t="n">
        <v>45</v>
      </c>
      <c r="E220" s="5" t="n">
        <v>946.13</v>
      </c>
      <c r="F220" s="5" t="inlineStr">
        <is>
          <t xml:space="preserve">Client_007  </t>
        </is>
      </c>
      <c r="G220" s="5" t="inlineStr">
        <is>
          <t>En cours</t>
        </is>
      </c>
      <c r="H220" s="5" t="inlineStr"/>
    </row>
    <row r="221">
      <c r="A221" s="5" t="inlineStr">
        <is>
          <t>CMD1202</t>
        </is>
      </c>
      <c r="B221" s="5" t="inlineStr">
        <is>
          <t>15/01/2024</t>
        </is>
      </c>
      <c r="C221" s="5" t="inlineStr">
        <is>
          <t>CLAVIER MÉCANIQUE RGB</t>
        </is>
      </c>
      <c r="D221" s="5" t="n">
        <v>37</v>
      </c>
      <c r="E221" s="5" t="n">
        <v>1872.18</v>
      </c>
      <c r="F221" s="5" t="inlineStr">
        <is>
          <t>Client_025</t>
        </is>
      </c>
      <c r="G221" s="5" t="inlineStr">
        <is>
          <t>EN COURS</t>
        </is>
      </c>
      <c r="H221" s="5" t="inlineStr"/>
    </row>
    <row r="222">
      <c r="A222" s="5" t="inlineStr">
        <is>
          <t>CMD1203</t>
        </is>
      </c>
      <c r="B222" s="5" t="inlineStr">
        <is>
          <t>2024.01.15</t>
        </is>
      </c>
      <c r="C222" s="5" t="inlineStr">
        <is>
          <t>Webcam HD 1080p</t>
        </is>
      </c>
      <c r="D222" s="5" t="n">
        <v>3</v>
      </c>
      <c r="E222" s="5" t="n">
        <v>969.05</v>
      </c>
      <c r="F222" s="5" t="inlineStr">
        <is>
          <t>Client_010</t>
        </is>
      </c>
      <c r="G222" s="5" t="inlineStr">
        <is>
          <t>Validé</t>
        </is>
      </c>
      <c r="H222" s="5" t="inlineStr"/>
    </row>
    <row r="223">
      <c r="A223" s="5" t="inlineStr">
        <is>
          <t>CMD1204</t>
        </is>
      </c>
      <c r="B223" s="5" t="inlineStr">
        <is>
          <t>2024-01-15</t>
        </is>
      </c>
      <c r="C223" s="5" t="inlineStr">
        <is>
          <t>Laptop HP ProBook</t>
        </is>
      </c>
      <c r="D223" s="5" t="n">
        <v>4</v>
      </c>
      <c r="E223" s="5" t="n">
        <v>2693.63</v>
      </c>
      <c r="F223" s="5" t="inlineStr">
        <is>
          <t>Client_019</t>
        </is>
      </c>
      <c r="G223" s="5" t="inlineStr">
        <is>
          <t>Livré</t>
        </is>
      </c>
      <c r="H223" s="5" t="inlineStr"/>
    </row>
    <row r="224">
      <c r="A224" s="5" t="inlineStr">
        <is>
          <t>CMD1205</t>
        </is>
      </c>
      <c r="B224" s="5" t="inlineStr">
        <is>
          <t>15/01/2024</t>
        </is>
      </c>
      <c r="C224" s="5" t="inlineStr">
        <is>
          <t xml:space="preserve">  Souris Logitech MX </t>
        </is>
      </c>
      <c r="D224" s="5" t="n">
        <v>41</v>
      </c>
      <c r="E224" s="5" t="n">
        <v>846.58</v>
      </c>
      <c r="F224" s="5" t="inlineStr">
        <is>
          <t>Client_022</t>
        </is>
      </c>
      <c r="G224" s="5" t="inlineStr">
        <is>
          <t>VALIDE</t>
        </is>
      </c>
      <c r="H224" s="5" t="inlineStr"/>
    </row>
    <row r="225">
      <c r="A225" s="5" t="inlineStr">
        <is>
          <t>CMD1206</t>
        </is>
      </c>
      <c r="B225" s="5" t="inlineStr">
        <is>
          <t>2024.01.15</t>
        </is>
      </c>
      <c r="C225" s="5" t="inlineStr">
        <is>
          <t>scanner pro a4</t>
        </is>
      </c>
      <c r="D225" s="5" t="n">
        <v>40</v>
      </c>
      <c r="E225" s="5" t="n">
        <v>2581.91</v>
      </c>
      <c r="F225" s="5" t="inlineStr">
        <is>
          <t>Client_015</t>
        </is>
      </c>
      <c r="G225" s="5" t="inlineStr">
        <is>
          <t>En cours</t>
        </is>
      </c>
      <c r="H225" s="5" t="inlineStr"/>
    </row>
    <row r="226">
      <c r="A226" s="5" t="inlineStr">
        <is>
          <t>CMD1207</t>
        </is>
      </c>
      <c r="B226" s="5" t="inlineStr">
        <is>
          <t>01-15-24</t>
        </is>
      </c>
      <c r="C226" s="5" t="inlineStr">
        <is>
          <t>CLAVIER MÉCANIQUE RGB</t>
        </is>
      </c>
      <c r="D226" s="5" t="n">
        <v>8</v>
      </c>
      <c r="E226" s="5" t="n">
        <v>883.4400000000001</v>
      </c>
      <c r="F226" s="5" t="inlineStr">
        <is>
          <t>Client_050</t>
        </is>
      </c>
      <c r="G226" s="5" t="inlineStr">
        <is>
          <t>EN COURS</t>
        </is>
      </c>
      <c r="H226" s="5" t="inlineStr"/>
    </row>
    <row r="227">
      <c r="A227" s="5" t="inlineStr">
        <is>
          <t>CMD1208</t>
        </is>
      </c>
      <c r="B227" s="5" t="inlineStr">
        <is>
          <t>15/01/2024</t>
        </is>
      </c>
      <c r="C227" s="5" t="inlineStr">
        <is>
          <t>Clavier Mécanique RGB</t>
        </is>
      </c>
      <c r="D227" s="5" t="n">
        <v>46</v>
      </c>
      <c r="E227" s="5" t="n">
        <v>1554.05</v>
      </c>
      <c r="F227" s="5" t="inlineStr">
        <is>
          <t xml:space="preserve">  Client_029</t>
        </is>
      </c>
      <c r="G227" s="5" t="inlineStr">
        <is>
          <t>en_cours</t>
        </is>
      </c>
      <c r="H227" s="5" t="inlineStr"/>
    </row>
    <row r="228">
      <c r="A228" s="5" t="inlineStr">
        <is>
          <t>CMD1209</t>
        </is>
      </c>
      <c r="B228" s="5" t="inlineStr">
        <is>
          <t>2024-01-15</t>
        </is>
      </c>
      <c r="C228" s="5" t="inlineStr">
        <is>
          <t>Tablette Graphique</t>
        </is>
      </c>
      <c r="D228" s="5" t="n">
        <v>30</v>
      </c>
      <c r="E228" s="5" t="n">
        <v>2031.05</v>
      </c>
      <c r="F228" s="5" t="inlineStr">
        <is>
          <t xml:space="preserve">Client_020  </t>
        </is>
      </c>
      <c r="G228" s="5" t="inlineStr">
        <is>
          <t>En cours</t>
        </is>
      </c>
      <c r="H228" s="5" t="inlineStr"/>
    </row>
    <row r="229">
      <c r="A229" s="5" t="inlineStr">
        <is>
          <t>CMD1210</t>
        </is>
      </c>
      <c r="B229" s="5" t="inlineStr">
        <is>
          <t>2024-01-15</t>
        </is>
      </c>
      <c r="C229" s="5" t="inlineStr">
        <is>
          <t xml:space="preserve">  Laptop HP ProBook </t>
        </is>
      </c>
      <c r="D229" s="5" t="n">
        <v>43</v>
      </c>
      <c r="E229" s="5" t="inlineStr">
        <is>
          <t>€1720.24</t>
        </is>
      </c>
      <c r="F229" s="5" t="inlineStr">
        <is>
          <t>Client_043</t>
        </is>
      </c>
      <c r="G229" s="5" t="inlineStr">
        <is>
          <t>livré</t>
        </is>
      </c>
      <c r="H229" s="5" t="inlineStr">
        <is>
          <t>Standard</t>
        </is>
      </c>
    </row>
    <row r="230">
      <c r="A230" s="5" t="inlineStr">
        <is>
          <t>CMD1211</t>
        </is>
      </c>
      <c r="B230" s="5" t="inlineStr">
        <is>
          <t>15/01/2024</t>
        </is>
      </c>
      <c r="C230" s="5" t="inlineStr">
        <is>
          <t>laptop hp probook</t>
        </is>
      </c>
      <c r="D230" s="5" t="n">
        <v>40</v>
      </c>
      <c r="E230" s="5" t="n">
        <v>1104.72</v>
      </c>
      <c r="F230" s="5" t="inlineStr">
        <is>
          <t>Client_026</t>
        </is>
      </c>
      <c r="G230" s="5" t="inlineStr">
        <is>
          <t>Livré</t>
        </is>
      </c>
      <c r="H230" s="5" t="inlineStr"/>
    </row>
    <row r="231">
      <c r="A231" s="5" t="inlineStr">
        <is>
          <t>CMD1212</t>
        </is>
      </c>
      <c r="B231" s="5" t="inlineStr">
        <is>
          <t>2024.01.15</t>
        </is>
      </c>
      <c r="C231" s="5" t="inlineStr">
        <is>
          <t>SOURIS LOGITECH MX</t>
        </is>
      </c>
      <c r="D231" s="5" t="n">
        <v>24</v>
      </c>
      <c r="E231" s="5" t="n">
        <v>1932.81</v>
      </c>
      <c r="F231" s="5" t="inlineStr">
        <is>
          <t>Client_016</t>
        </is>
      </c>
      <c r="G231" s="5" t="inlineStr">
        <is>
          <t>EN COURS</t>
        </is>
      </c>
      <c r="H231" s="5" t="inlineStr"/>
    </row>
    <row r="232">
      <c r="A232" s="5" t="inlineStr">
        <is>
          <t>CMD1213</t>
        </is>
      </c>
      <c r="B232" s="5" t="inlineStr">
        <is>
          <t>15-Jan-2024</t>
        </is>
      </c>
      <c r="C232" s="5" t="inlineStr">
        <is>
          <t>Imprimante Laser</t>
        </is>
      </c>
      <c r="D232" s="5" t="n">
        <v>35</v>
      </c>
      <c r="E232" s="5" t="n">
        <v>2218.75</v>
      </c>
      <c r="F232" s="5" t="inlineStr">
        <is>
          <t>Client_001</t>
        </is>
      </c>
      <c r="G232" s="5" t="inlineStr">
        <is>
          <t>livré</t>
        </is>
      </c>
      <c r="H232" s="5" t="inlineStr"/>
    </row>
    <row r="233">
      <c r="A233" s="5" t="inlineStr">
        <is>
          <t>CMD1214</t>
        </is>
      </c>
      <c r="B233" s="5" t="inlineStr">
        <is>
          <t>2024.01.15</t>
        </is>
      </c>
      <c r="C233" s="5" t="inlineStr">
        <is>
          <t>Écran DELL 24"</t>
        </is>
      </c>
      <c r="D233" s="5" t="n">
        <v>20</v>
      </c>
      <c r="E233" s="5" t="n">
        <v>723</v>
      </c>
      <c r="F233" s="5" t="inlineStr">
        <is>
          <t>Client_006</t>
        </is>
      </c>
      <c r="G233" s="5" t="inlineStr">
        <is>
          <t>VALIDE</t>
        </is>
      </c>
      <c r="H233" s="5" t="inlineStr"/>
    </row>
    <row r="234">
      <c r="A234" s="5" t="inlineStr">
        <is>
          <t>CMD1215</t>
        </is>
      </c>
      <c r="B234" s="5" t="inlineStr">
        <is>
          <t>2024-01-15</t>
        </is>
      </c>
      <c r="C234" s="5" t="inlineStr">
        <is>
          <t xml:space="preserve">  Souris Logitech MX </t>
        </is>
      </c>
      <c r="D234" s="5" t="n">
        <v>16</v>
      </c>
      <c r="E234" s="5" t="n">
        <v>2465</v>
      </c>
      <c r="F234" s="5" t="inlineStr">
        <is>
          <t>Client_044</t>
        </is>
      </c>
      <c r="G234" s="5" t="inlineStr">
        <is>
          <t>valide</t>
        </is>
      </c>
      <c r="H234" s="5" t="inlineStr"/>
    </row>
    <row r="235">
      <c r="A235" s="5" t="inlineStr">
        <is>
          <t>CMD1216</t>
        </is>
      </c>
      <c r="B235" s="5" t="inlineStr">
        <is>
          <t>15/01/2024</t>
        </is>
      </c>
      <c r="C235" s="5" t="inlineStr">
        <is>
          <t>imprimante laser</t>
        </is>
      </c>
      <c r="D235" s="5" t="n">
        <v>38</v>
      </c>
      <c r="E235" s="5" t="n">
        <v>858.74</v>
      </c>
      <c r="F235" s="5" t="inlineStr">
        <is>
          <t xml:space="preserve">  Client_016</t>
        </is>
      </c>
      <c r="G235" s="5" t="inlineStr">
        <is>
          <t>EN COURS</t>
        </is>
      </c>
      <c r="H235" s="5" t="inlineStr"/>
    </row>
    <row r="236">
      <c r="A236" s="5" t="inlineStr">
        <is>
          <t>CMD1217</t>
        </is>
      </c>
      <c r="B236" s="5" t="inlineStr">
        <is>
          <t>2024-01-15</t>
        </is>
      </c>
      <c r="C236" s="5" t="inlineStr">
        <is>
          <t>CASQUE AUDIO PRO</t>
        </is>
      </c>
      <c r="D236" s="5" t="n">
        <v>33</v>
      </c>
      <c r="E236" s="5" t="n">
        <v>716.26</v>
      </c>
      <c r="F236" s="5" t="inlineStr">
        <is>
          <t xml:space="preserve">Client_008  </t>
        </is>
      </c>
      <c r="G236" s="5" t="inlineStr">
        <is>
          <t>livré</t>
        </is>
      </c>
      <c r="H236" s="5" t="inlineStr"/>
    </row>
    <row r="237">
      <c r="A237" s="5" t="inlineStr">
        <is>
          <t>CMD1218</t>
        </is>
      </c>
      <c r="B237" s="5" t="inlineStr">
        <is>
          <t>01-15-24</t>
        </is>
      </c>
      <c r="C237" s="5" t="inlineStr">
        <is>
          <t>Scanner Pro A4</t>
        </is>
      </c>
      <c r="D237" s="5" t="n">
        <v>35</v>
      </c>
      <c r="E237" s="5" t="n">
        <v>1309.26</v>
      </c>
      <c r="F237" s="5" t="inlineStr">
        <is>
          <t>Client_045</t>
        </is>
      </c>
      <c r="G237" s="5" t="inlineStr">
        <is>
          <t>livré</t>
        </is>
      </c>
      <c r="H237" s="5" t="inlineStr"/>
    </row>
    <row r="238">
      <c r="A238" s="5" t="inlineStr">
        <is>
          <t>CMD1219</t>
        </is>
      </c>
      <c r="B238" s="5" t="inlineStr">
        <is>
          <t>15/01/2024</t>
        </is>
      </c>
      <c r="C238" s="5" t="inlineStr">
        <is>
          <t>Casque Audio Pro</t>
        </is>
      </c>
      <c r="D238" s="5" t="n">
        <v>8</v>
      </c>
      <c r="E238" s="5" t="n">
        <v>1174.61</v>
      </c>
      <c r="F238" s="5" t="inlineStr">
        <is>
          <t>Client_035</t>
        </is>
      </c>
      <c r="G238" s="5" t="inlineStr">
        <is>
          <t>Validé</t>
        </is>
      </c>
      <c r="H238" s="5" t="inlineStr"/>
    </row>
    <row r="239">
      <c r="A239" s="5" t="inlineStr">
        <is>
          <t>CMD1220</t>
        </is>
      </c>
      <c r="B239" s="5" t="inlineStr">
        <is>
          <t>15/01/2024</t>
        </is>
      </c>
      <c r="C239" s="5" t="inlineStr">
        <is>
          <t xml:space="preserve">  Tablette Graphique </t>
        </is>
      </c>
      <c r="D239" s="5" t="inlineStr">
        <is>
          <t>36 unités</t>
        </is>
      </c>
      <c r="E239" s="5" t="n">
        <v>330.69</v>
      </c>
      <c r="F239" s="5" t="inlineStr">
        <is>
          <t>Client_018</t>
        </is>
      </c>
      <c r="G239" s="5" t="inlineStr">
        <is>
          <t>en_cours</t>
        </is>
      </c>
      <c r="H239" s="5" t="inlineStr">
        <is>
          <t>Prioritaire</t>
        </is>
      </c>
    </row>
    <row r="240">
      <c r="A240" s="5" t="inlineStr">
        <is>
          <t>CMD1221</t>
        </is>
      </c>
      <c r="B240" s="5" t="inlineStr">
        <is>
          <t>01-15-24</t>
        </is>
      </c>
      <c r="C240" s="5" t="inlineStr">
        <is>
          <t>imprimante laser</t>
        </is>
      </c>
      <c r="D240" s="5" t="n">
        <v>29</v>
      </c>
      <c r="E240" s="5" t="n">
        <v>1446.56</v>
      </c>
      <c r="F240" s="5" t="inlineStr">
        <is>
          <t>Client_009</t>
        </is>
      </c>
      <c r="G240" s="5" t="inlineStr">
        <is>
          <t>En cours</t>
        </is>
      </c>
      <c r="H240" s="5" t="inlineStr"/>
    </row>
    <row r="241">
      <c r="A241" s="5" t="inlineStr">
        <is>
          <t>CMD1222</t>
        </is>
      </c>
      <c r="B241" s="5" t="inlineStr">
        <is>
          <t>2024.01.15</t>
        </is>
      </c>
      <c r="C241" s="5" t="inlineStr">
        <is>
          <t>ROUTEUR WIFI 6</t>
        </is>
      </c>
      <c r="D241" s="5" t="n">
        <v>38</v>
      </c>
      <c r="E241" s="5" t="n">
        <v>599.97</v>
      </c>
      <c r="F241" s="5" t="inlineStr">
        <is>
          <t>Client_014</t>
        </is>
      </c>
      <c r="G241" s="5" t="inlineStr">
        <is>
          <t>EN COURS</t>
        </is>
      </c>
      <c r="H241" s="5" t="inlineStr"/>
    </row>
    <row r="242">
      <c r="A242" s="5" t="inlineStr">
        <is>
          <t>CMD1223</t>
        </is>
      </c>
      <c r="B242" s="5" t="inlineStr">
        <is>
          <t>2024-01-15</t>
        </is>
      </c>
      <c r="C242" s="5" t="inlineStr">
        <is>
          <t>Écran DELL 24"</t>
        </is>
      </c>
      <c r="D242" s="5" t="n">
        <v>14</v>
      </c>
      <c r="E242" s="5" t="n">
        <v>1229.15</v>
      </c>
      <c r="F242" s="5" t="inlineStr">
        <is>
          <t>Client_016</t>
        </is>
      </c>
      <c r="G242" s="5" t="inlineStr">
        <is>
          <t>valide</t>
        </is>
      </c>
      <c r="H242" s="5" t="inlineStr"/>
    </row>
    <row r="243">
      <c r="A243" s="5" t="inlineStr">
        <is>
          <t>CMD1224</t>
        </is>
      </c>
      <c r="B243" s="5" t="inlineStr">
        <is>
          <t>2024.01.15</t>
        </is>
      </c>
      <c r="C243" s="5" t="inlineStr">
        <is>
          <t>Écran DELL 24"</t>
        </is>
      </c>
      <c r="D243" s="5" t="n">
        <v>42</v>
      </c>
      <c r="E243" s="5" t="n">
        <v>2840.41</v>
      </c>
      <c r="F243" s="5" t="inlineStr">
        <is>
          <t xml:space="preserve">  Client_008</t>
        </is>
      </c>
      <c r="G243" s="5" t="inlineStr">
        <is>
          <t>En cours</t>
        </is>
      </c>
      <c r="H243" s="5" t="inlineStr"/>
    </row>
    <row r="244">
      <c r="A244" s="5" t="inlineStr">
        <is>
          <t>CMD1225</t>
        </is>
      </c>
      <c r="B244" s="5" t="inlineStr">
        <is>
          <t>2024.01.15</t>
        </is>
      </c>
      <c r="C244" s="5" t="inlineStr">
        <is>
          <t xml:space="preserve">  Imprimante Laser </t>
        </is>
      </c>
      <c r="D244" s="5" t="n">
        <v>1</v>
      </c>
      <c r="E244" s="5" t="inlineStr">
        <is>
          <t>€1416.59</t>
        </is>
      </c>
      <c r="F244" s="5" t="inlineStr">
        <is>
          <t xml:space="preserve">Client_025  </t>
        </is>
      </c>
      <c r="G244" s="5" t="inlineStr">
        <is>
          <t>EN COURS</t>
        </is>
      </c>
      <c r="H244" s="5" t="inlineStr"/>
    </row>
    <row r="245">
      <c r="A245" s="5" t="inlineStr">
        <is>
          <t>CMD1226</t>
        </is>
      </c>
      <c r="B245" s="5" t="inlineStr">
        <is>
          <t>2024.01.15</t>
        </is>
      </c>
      <c r="C245" s="5" t="inlineStr">
        <is>
          <t>webcam hd 1080p</t>
        </is>
      </c>
      <c r="D245" s="5" t="n">
        <v>16</v>
      </c>
      <c r="E245" s="5" t="n">
        <v>399.74</v>
      </c>
      <c r="F245" s="5" t="inlineStr">
        <is>
          <t>Client_050</t>
        </is>
      </c>
      <c r="G245" s="5" t="inlineStr">
        <is>
          <t>En cours</t>
        </is>
      </c>
      <c r="H245" s="5" t="inlineStr"/>
    </row>
    <row r="246">
      <c r="A246" s="5" t="inlineStr">
        <is>
          <t>CMD1227</t>
        </is>
      </c>
      <c r="B246" s="5" t="inlineStr">
        <is>
          <t>2024-01-15</t>
        </is>
      </c>
      <c r="C246" s="5" t="inlineStr">
        <is>
          <t>SWITCH 24 PORTS</t>
        </is>
      </c>
      <c r="D246" s="5" t="n">
        <v>2</v>
      </c>
      <c r="E246" s="5" t="n">
        <v>1774.24</v>
      </c>
      <c r="F246" s="5" t="inlineStr">
        <is>
          <t>Client_009</t>
        </is>
      </c>
      <c r="G246" s="5" t="inlineStr">
        <is>
          <t>En cours</t>
        </is>
      </c>
      <c r="H246" s="5" t="inlineStr"/>
    </row>
    <row r="247">
      <c r="A247" s="5" t="inlineStr">
        <is>
          <t>CMD1228</t>
        </is>
      </c>
      <c r="B247" s="5" t="inlineStr">
        <is>
          <t>15/01/2024</t>
        </is>
      </c>
      <c r="C247" s="5" t="inlineStr">
        <is>
          <t>Clavier Mécanique RGB</t>
        </is>
      </c>
      <c r="D247" s="5" t="n">
        <v>25</v>
      </c>
      <c r="E247" s="5" t="n">
        <v>1460.11</v>
      </c>
      <c r="F247" s="5" t="inlineStr">
        <is>
          <t>Client_015</t>
        </is>
      </c>
      <c r="G247" s="5" t="inlineStr">
        <is>
          <t>en_cours</t>
        </is>
      </c>
      <c r="H247" s="5" t="inlineStr"/>
    </row>
    <row r="248">
      <c r="A248" s="5" t="inlineStr">
        <is>
          <t>CMD1229</t>
        </is>
      </c>
      <c r="B248" s="5" t="inlineStr">
        <is>
          <t>15-Jan-2024</t>
        </is>
      </c>
      <c r="C248" s="5" t="inlineStr">
        <is>
          <t>Disque SSD 1To</t>
        </is>
      </c>
      <c r="D248" s="5" t="n">
        <v>31</v>
      </c>
      <c r="E248" s="5" t="n">
        <v>449.61</v>
      </c>
      <c r="F248" s="5" t="inlineStr">
        <is>
          <t>Client_009</t>
        </is>
      </c>
      <c r="G248" s="5" t="inlineStr">
        <is>
          <t>Livré</t>
        </is>
      </c>
      <c r="H248" s="5" t="inlineStr"/>
    </row>
    <row r="249">
      <c r="A249" s="5" t="inlineStr">
        <is>
          <t>CMD1230</t>
        </is>
      </c>
      <c r="B249" s="5" t="inlineStr">
        <is>
          <t>15-Jan-2024</t>
        </is>
      </c>
      <c r="C249" s="5" t="inlineStr">
        <is>
          <t xml:space="preserve">  Routeur WiFi 6 </t>
        </is>
      </c>
      <c r="D249" s="5" t="n">
        <v>8</v>
      </c>
      <c r="E249" s="5" t="n">
        <v>1710.31</v>
      </c>
      <c r="F249" s="5" t="inlineStr">
        <is>
          <t>Client_030</t>
        </is>
      </c>
      <c r="G249" s="5" t="inlineStr">
        <is>
          <t>valide</t>
        </is>
      </c>
      <c r="H249" s="5" t="inlineStr">
        <is>
          <t>Prioritaire</t>
        </is>
      </c>
    </row>
    <row r="250">
      <c r="A250" s="5" t="inlineStr">
        <is>
          <t>CMD1231</t>
        </is>
      </c>
      <c r="B250" s="5" t="inlineStr">
        <is>
          <t>01-15-24</t>
        </is>
      </c>
      <c r="C250" s="5" t="inlineStr">
        <is>
          <t>webcam hd 1080p</t>
        </is>
      </c>
      <c r="D250" s="5" t="n">
        <v>41</v>
      </c>
      <c r="E250" s="5" t="n">
        <v>1026.68</v>
      </c>
      <c r="F250" s="5" t="inlineStr">
        <is>
          <t>Client_049</t>
        </is>
      </c>
      <c r="G250" s="5" t="inlineStr">
        <is>
          <t>Livré</t>
        </is>
      </c>
      <c r="H250" s="5" t="inlineStr"/>
    </row>
    <row r="251">
      <c r="A251" s="5" t="inlineStr">
        <is>
          <t>CMD1232</t>
        </is>
      </c>
      <c r="B251" s="5" t="inlineStr">
        <is>
          <t>15/01/2024</t>
        </is>
      </c>
      <c r="C251" s="5" t="inlineStr">
        <is>
          <t>ROUTEUR WIFI 6</t>
        </is>
      </c>
      <c r="D251" s="5" t="n">
        <v>9</v>
      </c>
      <c r="E251" s="5" t="n">
        <v>2313.88</v>
      </c>
      <c r="F251" s="5" t="inlineStr">
        <is>
          <t xml:space="preserve">  Client_001</t>
        </is>
      </c>
      <c r="G251" s="5" t="inlineStr">
        <is>
          <t>Livré</t>
        </is>
      </c>
      <c r="H251" s="5" t="inlineStr"/>
    </row>
    <row r="252">
      <c r="A252" s="5" t="inlineStr">
        <is>
          <t>CMD1233</t>
        </is>
      </c>
      <c r="B252" s="5" t="inlineStr">
        <is>
          <t>15-Jan-2024</t>
        </is>
      </c>
      <c r="C252" s="5" t="inlineStr">
        <is>
          <t>Casque Audio Pro</t>
        </is>
      </c>
      <c r="D252" s="5" t="n">
        <v>11</v>
      </c>
      <c r="E252" s="5" t="n">
        <v>1902.64</v>
      </c>
      <c r="F252" s="5" t="inlineStr">
        <is>
          <t xml:space="preserve">Client_042  </t>
        </is>
      </c>
      <c r="G252" s="5" t="inlineStr">
        <is>
          <t>valide</t>
        </is>
      </c>
      <c r="H252" s="5" t="inlineStr"/>
    </row>
    <row r="253">
      <c r="A253" s="5" t="inlineStr">
        <is>
          <t>CMD1234</t>
        </is>
      </c>
      <c r="B253" s="5" t="inlineStr">
        <is>
          <t>2024-01-15</t>
        </is>
      </c>
      <c r="C253" s="5" t="inlineStr">
        <is>
          <t>Switch 24 ports</t>
        </is>
      </c>
      <c r="D253" s="5" t="n">
        <v>35</v>
      </c>
      <c r="E253" s="5" t="n">
        <v>1253.71</v>
      </c>
      <c r="F253" s="5" t="inlineStr">
        <is>
          <t>Client_035</t>
        </is>
      </c>
      <c r="G253" s="5" t="inlineStr">
        <is>
          <t>Validé</t>
        </is>
      </c>
      <c r="H253" s="5" t="inlineStr"/>
    </row>
    <row r="254">
      <c r="A254" s="5" t="inlineStr">
        <is>
          <t>CMD1235</t>
        </is>
      </c>
      <c r="B254" s="5" t="inlineStr">
        <is>
          <t>2024.01.15</t>
        </is>
      </c>
      <c r="C254" s="5" t="inlineStr">
        <is>
          <t xml:space="preserve">  Écran DELL 24" </t>
        </is>
      </c>
      <c r="D254" s="5" t="n">
        <v>30</v>
      </c>
      <c r="E254" s="5" t="n">
        <v>1727.71</v>
      </c>
      <c r="F254" s="5" t="inlineStr">
        <is>
          <t>Client_042</t>
        </is>
      </c>
      <c r="G254" s="5" t="inlineStr">
        <is>
          <t>EN COURS</t>
        </is>
      </c>
      <c r="H254" s="5" t="inlineStr"/>
    </row>
    <row r="255">
      <c r="A255" s="5" t="inlineStr">
        <is>
          <t>CMD1236</t>
        </is>
      </c>
      <c r="B255" s="5" t="inlineStr">
        <is>
          <t>01-15-24</t>
        </is>
      </c>
      <c r="C255" s="5" t="inlineStr">
        <is>
          <t>souris logitech mx</t>
        </is>
      </c>
      <c r="D255" s="5" t="n">
        <v>18</v>
      </c>
      <c r="E255" s="5" t="n">
        <v>677.8099999999999</v>
      </c>
      <c r="F255" s="5" t="inlineStr">
        <is>
          <t>Client_037</t>
        </is>
      </c>
      <c r="G255" s="5" t="inlineStr">
        <is>
          <t>livré</t>
        </is>
      </c>
      <c r="H255" s="5" t="inlineStr"/>
    </row>
    <row r="256">
      <c r="A256" s="5" t="inlineStr">
        <is>
          <t>CMD1237</t>
        </is>
      </c>
      <c r="B256" s="5" t="inlineStr">
        <is>
          <t>2024-01-15</t>
        </is>
      </c>
      <c r="C256" s="5" t="inlineStr">
        <is>
          <t>ROUTEUR WIFI 6</t>
        </is>
      </c>
      <c r="D256" s="5" t="n">
        <v>4</v>
      </c>
      <c r="E256" s="5" t="n">
        <v>2991.08</v>
      </c>
      <c r="F256" s="5" t="inlineStr">
        <is>
          <t>Client_049</t>
        </is>
      </c>
      <c r="G256" s="5" t="inlineStr">
        <is>
          <t>livré</t>
        </is>
      </c>
      <c r="H256" s="5" t="inlineStr"/>
    </row>
    <row r="257">
      <c r="A257" s="5" t="inlineStr">
        <is>
          <t>CMD1238</t>
        </is>
      </c>
      <c r="B257" s="5" t="inlineStr">
        <is>
          <t>01-15-24</t>
        </is>
      </c>
      <c r="C257" s="5" t="inlineStr">
        <is>
          <t>Clavier Mécanique RGB</t>
        </is>
      </c>
      <c r="D257" s="5" t="n">
        <v>37</v>
      </c>
      <c r="E257" s="5" t="n">
        <v>595.79</v>
      </c>
      <c r="F257" s="5" t="inlineStr">
        <is>
          <t>Client_047</t>
        </is>
      </c>
      <c r="G257" s="5" t="inlineStr">
        <is>
          <t>EN COURS</t>
        </is>
      </c>
      <c r="H257" s="5" t="inlineStr"/>
    </row>
    <row r="258">
      <c r="A258" s="5" t="inlineStr">
        <is>
          <t>CMD1239</t>
        </is>
      </c>
      <c r="B258" s="5" t="inlineStr">
        <is>
          <t>15-Jan-2024</t>
        </is>
      </c>
      <c r="C258" s="5" t="inlineStr">
        <is>
          <t>Écran DELL 24"</t>
        </is>
      </c>
      <c r="D258" s="5" t="n">
        <v>44</v>
      </c>
      <c r="E258" s="5" t="n">
        <v>1806.39</v>
      </c>
      <c r="F258" s="5" t="inlineStr">
        <is>
          <t>Client_001</t>
        </is>
      </c>
      <c r="G258" s="5" t="inlineStr">
        <is>
          <t>VALIDE</t>
        </is>
      </c>
      <c r="H258" s="5" t="inlineStr"/>
    </row>
    <row r="259">
      <c r="A259" s="5" t="inlineStr">
        <is>
          <t>CMD1240</t>
        </is>
      </c>
      <c r="B259" s="5" t="inlineStr">
        <is>
          <t>01-15-24</t>
        </is>
      </c>
      <c r="C259" s="5" t="inlineStr">
        <is>
          <t xml:space="preserve">  Souris Logitech MX </t>
        </is>
      </c>
      <c r="D259" s="5" t="inlineStr">
        <is>
          <t>45 unités</t>
        </is>
      </c>
      <c r="E259" s="5" t="inlineStr">
        <is>
          <t>€1773.38</t>
        </is>
      </c>
      <c r="F259" s="5" t="inlineStr">
        <is>
          <t xml:space="preserve">  Client_010</t>
        </is>
      </c>
      <c r="G259" s="5" t="inlineStr">
        <is>
          <t>VALIDE</t>
        </is>
      </c>
      <c r="H259" s="5" t="inlineStr">
        <is>
          <t>Urgent</t>
        </is>
      </c>
    </row>
    <row r="260">
      <c r="A260" s="5" t="inlineStr">
        <is>
          <t>CMD1241</t>
        </is>
      </c>
      <c r="B260" s="5" t="inlineStr">
        <is>
          <t>2024.01.15</t>
        </is>
      </c>
      <c r="C260" s="5" t="inlineStr">
        <is>
          <t>laptop hp probook</t>
        </is>
      </c>
      <c r="D260" s="5" t="n">
        <v>50</v>
      </c>
      <c r="E260" s="5" t="n">
        <v>2699.01</v>
      </c>
      <c r="F260" s="5" t="inlineStr">
        <is>
          <t xml:space="preserve">Client_007  </t>
        </is>
      </c>
      <c r="G260" s="5" t="inlineStr">
        <is>
          <t>en_cours</t>
        </is>
      </c>
      <c r="H260" s="5" t="inlineStr"/>
    </row>
    <row r="261">
      <c r="A261" s="5" t="inlineStr">
        <is>
          <t>CMD1242</t>
        </is>
      </c>
      <c r="B261" s="5" t="inlineStr">
        <is>
          <t>15/01/2024</t>
        </is>
      </c>
      <c r="C261" s="5" t="inlineStr">
        <is>
          <t>CLAVIER MÉCANIQUE RGB</t>
        </is>
      </c>
      <c r="D261" s="5" t="n">
        <v>4</v>
      </c>
      <c r="E261" s="5" t="n">
        <v>1647.92</v>
      </c>
      <c r="F261" s="5" t="inlineStr">
        <is>
          <t>Client_015</t>
        </is>
      </c>
      <c r="G261" s="5" t="inlineStr">
        <is>
          <t>Validé</t>
        </is>
      </c>
      <c r="H261" s="5" t="inlineStr"/>
    </row>
    <row r="262">
      <c r="A262" s="5" t="inlineStr">
        <is>
          <t>CMD1243</t>
        </is>
      </c>
      <c r="B262" s="5" t="inlineStr">
        <is>
          <t>2024-01-15</t>
        </is>
      </c>
      <c r="C262" s="5" t="inlineStr">
        <is>
          <t>Disque SSD 1To</t>
        </is>
      </c>
      <c r="D262" s="5" t="n">
        <v>20</v>
      </c>
      <c r="E262" s="5" t="n">
        <v>2524.91</v>
      </c>
      <c r="F262" s="5" t="inlineStr">
        <is>
          <t>Client_036</t>
        </is>
      </c>
      <c r="G262" s="5" t="inlineStr">
        <is>
          <t>Validé</t>
        </is>
      </c>
      <c r="H262" s="5" t="inlineStr"/>
    </row>
    <row r="263">
      <c r="A263" s="5" t="inlineStr">
        <is>
          <t>CMD1244</t>
        </is>
      </c>
      <c r="B263" s="5" t="inlineStr">
        <is>
          <t>15-Jan-2024</t>
        </is>
      </c>
      <c r="C263" s="5" t="inlineStr">
        <is>
          <t>Casque Audio Pro</t>
        </is>
      </c>
      <c r="D263" s="5" t="n">
        <v>25</v>
      </c>
      <c r="E263" s="5" t="n">
        <v>1581.69</v>
      </c>
      <c r="F263" s="5" t="inlineStr">
        <is>
          <t>Client_008</t>
        </is>
      </c>
      <c r="G263" s="5" t="inlineStr">
        <is>
          <t>Livré</t>
        </is>
      </c>
      <c r="H263" s="5" t="inlineStr"/>
    </row>
    <row r="264">
      <c r="A264" s="5" t="inlineStr">
        <is>
          <t>CMD1245</t>
        </is>
      </c>
      <c r="B264" s="5" t="inlineStr">
        <is>
          <t>01-15-24</t>
        </is>
      </c>
      <c r="C264" s="5" t="inlineStr">
        <is>
          <t xml:space="preserve">  Tablette Graphique </t>
        </is>
      </c>
      <c r="D264" s="5" t="n">
        <v>43</v>
      </c>
      <c r="E264" s="5" t="n">
        <v>2817.19</v>
      </c>
      <c r="F264" s="5" t="inlineStr">
        <is>
          <t>Client_015</t>
        </is>
      </c>
      <c r="G264" s="5" t="inlineStr">
        <is>
          <t>En cours</t>
        </is>
      </c>
      <c r="H264" s="5" t="inlineStr"/>
    </row>
    <row r="265">
      <c r="A265" s="5" t="inlineStr">
        <is>
          <t>CMD1246</t>
        </is>
      </c>
      <c r="B265" s="5" t="inlineStr">
        <is>
          <t>2024.01.15</t>
        </is>
      </c>
      <c r="C265" s="5" t="inlineStr">
        <is>
          <t>souris logitech mx</t>
        </is>
      </c>
      <c r="D265" s="5" t="n">
        <v>44</v>
      </c>
      <c r="E265" s="5" t="n">
        <v>2560.41</v>
      </c>
      <c r="F265" s="5" t="inlineStr">
        <is>
          <t>Client_029</t>
        </is>
      </c>
      <c r="G265" s="5" t="inlineStr">
        <is>
          <t>Validé</t>
        </is>
      </c>
      <c r="H265" s="5" t="inlineStr"/>
    </row>
    <row r="266">
      <c r="A266" s="5" t="inlineStr">
        <is>
          <t>CMD1247</t>
        </is>
      </c>
      <c r="B266" s="5" t="inlineStr">
        <is>
          <t>15-Jan-2024</t>
        </is>
      </c>
      <c r="C266" s="5" t="inlineStr">
        <is>
          <t>IMPRIMANTE LASER</t>
        </is>
      </c>
      <c r="D266" s="5" t="n">
        <v>20</v>
      </c>
      <c r="E266" s="5" t="n">
        <v>1682.36</v>
      </c>
      <c r="F266" s="5" t="inlineStr">
        <is>
          <t>Client_047</t>
        </is>
      </c>
      <c r="G266" s="5" t="inlineStr">
        <is>
          <t>En cours</t>
        </is>
      </c>
      <c r="H266" s="5" t="inlineStr"/>
    </row>
    <row r="267">
      <c r="A267" s="5" t="inlineStr">
        <is>
          <t>CMD1248</t>
        </is>
      </c>
      <c r="B267" s="5" t="inlineStr">
        <is>
          <t>15/01/2024</t>
        </is>
      </c>
      <c r="C267" s="5" t="inlineStr">
        <is>
          <t>Disque SSD 1To</t>
        </is>
      </c>
      <c r="D267" s="5" t="n">
        <v>36</v>
      </c>
      <c r="E267" s="5" t="n">
        <v>2972.78</v>
      </c>
      <c r="F267" s="5" t="inlineStr">
        <is>
          <t xml:space="preserve">  Client_029</t>
        </is>
      </c>
      <c r="G267" s="5" t="inlineStr">
        <is>
          <t>valide</t>
        </is>
      </c>
      <c r="H267" s="5" t="inlineStr"/>
    </row>
    <row r="268">
      <c r="A268" s="5" t="inlineStr">
        <is>
          <t>CMD1249</t>
        </is>
      </c>
      <c r="B268" s="5" t="inlineStr">
        <is>
          <t>15-Jan-2024</t>
        </is>
      </c>
      <c r="C268" s="5" t="inlineStr">
        <is>
          <t>Webcam HD 1080p</t>
        </is>
      </c>
      <c r="D268" s="5" t="n">
        <v>6</v>
      </c>
      <c r="E268" s="5" t="n">
        <v>1402.47</v>
      </c>
      <c r="F268" s="5" t="inlineStr">
        <is>
          <t xml:space="preserve">Client_007  </t>
        </is>
      </c>
      <c r="G268" s="5" t="inlineStr">
        <is>
          <t>en_cours</t>
        </is>
      </c>
      <c r="H268" s="5" t="inlineStr"/>
    </row>
    <row r="271">
      <c r="A271" s="11" t="inlineStr">
        <is>
          <t>📦 SOURCE 2 : STOCK &amp; DEMANDE PRÉVISIONNELLE</t>
        </is>
      </c>
    </row>
    <row r="272">
      <c r="A272" s="4" t="inlineStr">
        <is>
          <t>Produit</t>
        </is>
      </c>
      <c r="B272" s="4" t="inlineStr">
        <is>
          <t>Stock_Actuel</t>
        </is>
      </c>
      <c r="C272" s="4" t="inlineStr">
        <is>
          <t>Demande_Prevue</t>
        </is>
      </c>
      <c r="D272" s="4" t="inlineStr">
        <is>
          <t>Entrepot</t>
        </is>
      </c>
      <c r="E272" s="4" t="inlineStr">
        <is>
          <t>Derniere_MAJ</t>
        </is>
      </c>
      <c r="F272" s="4" t="inlineStr">
        <is>
          <t>Seuil_Alerte</t>
        </is>
      </c>
    </row>
    <row r="273">
      <c r="A273" s="5" t="inlineStr">
        <is>
          <t xml:space="preserve">  Laptop HP ProBook</t>
        </is>
      </c>
      <c r="B273" s="5" t="n">
        <v>10</v>
      </c>
      <c r="C273" s="5" t="n">
        <v>114</v>
      </c>
      <c r="D273" s="5" t="inlineStr">
        <is>
          <t>Marseille</t>
        </is>
      </c>
      <c r="E273" s="5" t="inlineStr">
        <is>
          <t>2026-01-03</t>
        </is>
      </c>
      <c r="F273" s="5" t="n">
        <v>30</v>
      </c>
    </row>
    <row r="274">
      <c r="A274" s="5" t="inlineStr">
        <is>
          <t>écran dell 24"</t>
        </is>
      </c>
      <c r="B274" s="5" t="n">
        <v>177</v>
      </c>
      <c r="C274" s="5" t="n">
        <v>34</v>
      </c>
      <c r="D274" s="5" t="inlineStr">
        <is>
          <t>Paris</t>
        </is>
      </c>
      <c r="E274" s="5" t="inlineStr">
        <is>
          <t>2025-12-07</t>
        </is>
      </c>
      <c r="F274" s="5" t="n">
        <v>43</v>
      </c>
    </row>
    <row r="275">
      <c r="A275" s="5" t="inlineStr">
        <is>
          <t>SOURIS LOGITECH MX</t>
        </is>
      </c>
      <c r="B275" s="5" t="n">
        <v>10</v>
      </c>
      <c r="C275" s="5" t="n">
        <v>63</v>
      </c>
      <c r="D275" s="5" t="inlineStr">
        <is>
          <t>Lille</t>
        </is>
      </c>
      <c r="E275" s="5" t="inlineStr">
        <is>
          <t>2026-01-24</t>
        </is>
      </c>
      <c r="F275" s="5" t="n">
        <v>10</v>
      </c>
    </row>
    <row r="276">
      <c r="A276" s="5" t="inlineStr">
        <is>
          <t>Clavier Mécanique RGB</t>
        </is>
      </c>
      <c r="B276" s="5" t="n">
        <v>1</v>
      </c>
      <c r="C276" s="5" t="n">
        <v>65</v>
      </c>
      <c r="D276" s="5" t="inlineStr">
        <is>
          <t>Bordeaux</t>
        </is>
      </c>
      <c r="E276" s="5" t="inlineStr">
        <is>
          <t>2025-11-24</t>
        </is>
      </c>
      <c r="F276" s="5" t="n">
        <v>11</v>
      </c>
    </row>
    <row r="277">
      <c r="A277" s="5" t="inlineStr">
        <is>
          <t xml:space="preserve">  Webcam HD 1080p</t>
        </is>
      </c>
      <c r="B277" s="5" t="n">
        <v>113</v>
      </c>
      <c r="C277" s="5" t="n">
        <v>55</v>
      </c>
      <c r="D277" s="5" t="inlineStr">
        <is>
          <t>Lyon</t>
        </is>
      </c>
      <c r="E277" s="5" t="inlineStr">
        <is>
          <t>2025-12-27</t>
        </is>
      </c>
      <c r="F277" s="5" t="n">
        <v>23</v>
      </c>
    </row>
    <row r="278">
      <c r="A278" s="5" t="inlineStr">
        <is>
          <t>casque audio pro</t>
        </is>
      </c>
      <c r="B278" s="5" t="n">
        <v>95</v>
      </c>
      <c r="C278" s="5" t="n">
        <v>25</v>
      </c>
      <c r="D278" s="5" t="inlineStr">
        <is>
          <t>Lyon</t>
        </is>
      </c>
      <c r="E278" s="5" t="inlineStr">
        <is>
          <t>2026-01-28</t>
        </is>
      </c>
      <c r="F278" s="5" t="n">
        <v>41</v>
      </c>
    </row>
    <row r="279">
      <c r="A279" s="5" t="inlineStr">
        <is>
          <t>IMPRIMANTE LASER</t>
        </is>
      </c>
      <c r="B279" s="5" t="n">
        <v>13</v>
      </c>
      <c r="C279" s="5" t="n">
        <v>140</v>
      </c>
      <c r="D279" s="5" t="inlineStr">
        <is>
          <t>Lille</t>
        </is>
      </c>
      <c r="E279" s="5" t="inlineStr">
        <is>
          <t>2026-01-16</t>
        </is>
      </c>
      <c r="F279" s="5" t="n">
        <v>28</v>
      </c>
    </row>
    <row r="280">
      <c r="A280" s="5" t="inlineStr">
        <is>
          <t>Scanner Pro A4</t>
        </is>
      </c>
      <c r="B280" s="5" t="n">
        <v>108</v>
      </c>
      <c r="C280" s="5" t="n">
        <v>250</v>
      </c>
      <c r="D280" s="5" t="inlineStr">
        <is>
          <t>Marseille</t>
        </is>
      </c>
      <c r="E280" s="5" t="inlineStr">
        <is>
          <t>2025-12-07</t>
        </is>
      </c>
      <c r="F280" s="5" t="n">
        <v>22</v>
      </c>
    </row>
    <row r="281">
      <c r="A281" s="5" t="inlineStr">
        <is>
          <t xml:space="preserve">  Tablette Graphique</t>
        </is>
      </c>
      <c r="B281" s="5" t="n">
        <v>26</v>
      </c>
      <c r="C281" s="5" t="n">
        <v>246</v>
      </c>
      <c r="D281" s="5" t="inlineStr">
        <is>
          <t>Paris</t>
        </is>
      </c>
      <c r="E281" s="5" t="inlineStr">
        <is>
          <t>2026-01-01</t>
        </is>
      </c>
      <c r="F281" s="5" t="n">
        <v>27</v>
      </c>
    </row>
    <row r="282">
      <c r="A282" s="5" t="inlineStr">
        <is>
          <t>disque ssd 1to</t>
        </is>
      </c>
      <c r="B282" s="5" t="n">
        <v>148</v>
      </c>
      <c r="C282" s="5" t="n">
        <v>239</v>
      </c>
      <c r="D282" s="5" t="inlineStr">
        <is>
          <t>Marseille</t>
        </is>
      </c>
      <c r="E282" s="5" t="inlineStr">
        <is>
          <t>2025-11-28</t>
        </is>
      </c>
      <c r="F282" s="5" t="n">
        <v>28</v>
      </c>
    </row>
    <row r="283">
      <c r="A283" s="5" t="inlineStr">
        <is>
          <t>ROUTEUR WIFI 6</t>
        </is>
      </c>
      <c r="B283" s="5" t="n">
        <v>182</v>
      </c>
      <c r="C283" s="5" t="n">
        <v>148</v>
      </c>
      <c r="D283" s="5" t="inlineStr">
        <is>
          <t>Lyon</t>
        </is>
      </c>
      <c r="E283" s="5" t="inlineStr">
        <is>
          <t>2025-12-22</t>
        </is>
      </c>
      <c r="F283" s="5" t="n">
        <v>43</v>
      </c>
    </row>
    <row r="284">
      <c r="A284" s="5" t="inlineStr">
        <is>
          <t>Switch 24 ports</t>
        </is>
      </c>
      <c r="B284" s="5" t="n">
        <v>20</v>
      </c>
      <c r="C284" s="5" t="n">
        <v>169</v>
      </c>
      <c r="D284" s="5" t="inlineStr">
        <is>
          <t>Marseille</t>
        </is>
      </c>
      <c r="E284" s="5" t="inlineStr">
        <is>
          <t>2026-01-22</t>
        </is>
      </c>
      <c r="F284" s="5" t="n">
        <v>49</v>
      </c>
    </row>
    <row r="285">
      <c r="A285" s="5" t="inlineStr">
        <is>
          <t xml:space="preserve">  Laptop HP ProBook</t>
        </is>
      </c>
      <c r="B285" s="5" t="n">
        <v>185</v>
      </c>
      <c r="C285" s="5" t="n">
        <v>217</v>
      </c>
      <c r="D285" s="5" t="inlineStr">
        <is>
          <t>Bordeaux</t>
        </is>
      </c>
      <c r="E285" s="5" t="inlineStr">
        <is>
          <t>2025-12-30</t>
        </is>
      </c>
      <c r="F285" s="5" t="n">
        <v>49</v>
      </c>
    </row>
    <row r="286">
      <c r="A286" s="5" t="inlineStr">
        <is>
          <t>écran dell 24"</t>
        </is>
      </c>
      <c r="B286" s="5" t="n">
        <v>54</v>
      </c>
      <c r="C286" s="5" t="n">
        <v>192</v>
      </c>
      <c r="D286" s="5" t="inlineStr">
        <is>
          <t>Bordeaux</t>
        </is>
      </c>
      <c r="E286" s="5" t="inlineStr">
        <is>
          <t>2025-12-21</t>
        </is>
      </c>
      <c r="F286" s="5" t="n">
        <v>20</v>
      </c>
    </row>
    <row r="287">
      <c r="A287" s="5" t="inlineStr">
        <is>
          <t>SOURIS LOGITECH MX</t>
        </is>
      </c>
      <c r="B287" s="5" t="n">
        <v>138</v>
      </c>
      <c r="C287" s="5" t="n">
        <v>90</v>
      </c>
      <c r="D287" s="5" t="inlineStr">
        <is>
          <t>Lille</t>
        </is>
      </c>
      <c r="E287" s="5" t="inlineStr">
        <is>
          <t>2026-02-10</t>
        </is>
      </c>
      <c r="F287" s="5" t="n">
        <v>10</v>
      </c>
    </row>
    <row r="288">
      <c r="A288" s="5" t="inlineStr">
        <is>
          <t>Clavier Mécanique RGB</t>
        </is>
      </c>
      <c r="B288" s="5" t="n">
        <v>45</v>
      </c>
      <c r="C288" s="5" t="n">
        <v>158</v>
      </c>
      <c r="D288" s="5" t="inlineStr">
        <is>
          <t>Lille</t>
        </is>
      </c>
      <c r="E288" s="5" t="inlineStr">
        <is>
          <t>2026-01-06</t>
        </is>
      </c>
      <c r="F288" s="5" t="n">
        <v>28</v>
      </c>
    </row>
    <row r="289">
      <c r="A289" s="5" t="inlineStr">
        <is>
          <t xml:space="preserve">  Webcam HD 1080p</t>
        </is>
      </c>
      <c r="B289" s="5" t="n">
        <v>135</v>
      </c>
      <c r="C289" s="5" t="n">
        <v>294</v>
      </c>
      <c r="D289" s="5" t="inlineStr">
        <is>
          <t>Lille</t>
        </is>
      </c>
      <c r="E289" s="5" t="inlineStr">
        <is>
          <t>2026-02-18</t>
        </is>
      </c>
      <c r="F289" s="5" t="n">
        <v>12</v>
      </c>
    </row>
    <row r="290">
      <c r="A290" s="5" t="inlineStr">
        <is>
          <t>casque audio pro</t>
        </is>
      </c>
      <c r="B290" s="5" t="n">
        <v>72</v>
      </c>
      <c r="C290" s="5" t="n">
        <v>290</v>
      </c>
      <c r="D290" s="5" t="inlineStr">
        <is>
          <t>Marseille</t>
        </is>
      </c>
      <c r="E290" s="5" t="inlineStr">
        <is>
          <t>2026-01-28</t>
        </is>
      </c>
      <c r="F290" s="5" t="n">
        <v>29</v>
      </c>
    </row>
    <row r="291">
      <c r="A291" s="5" t="inlineStr">
        <is>
          <t>IMPRIMANTE LASER</t>
        </is>
      </c>
      <c r="B291" s="5" t="n">
        <v>121</v>
      </c>
      <c r="C291" s="5" t="n">
        <v>170</v>
      </c>
      <c r="D291" s="5" t="inlineStr">
        <is>
          <t>Lyon</t>
        </is>
      </c>
      <c r="E291" s="5" t="inlineStr">
        <is>
          <t>2026-01-07</t>
        </is>
      </c>
      <c r="F291" s="5" t="n">
        <v>23</v>
      </c>
    </row>
    <row r="292">
      <c r="A292" s="5" t="inlineStr">
        <is>
          <t>Scanner Pro A4</t>
        </is>
      </c>
      <c r="B292" s="5" t="n">
        <v>106</v>
      </c>
      <c r="C292" s="5" t="n">
        <v>153</v>
      </c>
      <c r="D292" s="5" t="inlineStr">
        <is>
          <t>Lyon</t>
        </is>
      </c>
      <c r="E292" s="5" t="inlineStr">
        <is>
          <t>2026-02-03</t>
        </is>
      </c>
      <c r="F292" s="5" t="n">
        <v>19</v>
      </c>
    </row>
    <row r="293">
      <c r="A293" s="5" t="inlineStr">
        <is>
          <t xml:space="preserve">  Tablette Graphique</t>
        </is>
      </c>
      <c r="B293" s="5" t="n">
        <v>19</v>
      </c>
      <c r="C293" s="5" t="n">
        <v>220</v>
      </c>
      <c r="D293" s="5" t="inlineStr">
        <is>
          <t>Marseille</t>
        </is>
      </c>
      <c r="E293" s="5" t="inlineStr">
        <is>
          <t>2026-01-11</t>
        </is>
      </c>
      <c r="F293" s="5" t="n">
        <v>33</v>
      </c>
    </row>
    <row r="294">
      <c r="A294" s="5" t="inlineStr">
        <is>
          <t>disque ssd 1to</t>
        </is>
      </c>
      <c r="B294" s="5" t="n">
        <v>187</v>
      </c>
      <c r="C294" s="5" t="n">
        <v>62</v>
      </c>
      <c r="D294" s="5" t="inlineStr">
        <is>
          <t>Lyon</t>
        </is>
      </c>
      <c r="E294" s="5" t="inlineStr">
        <is>
          <t>2025-12-13</t>
        </is>
      </c>
      <c r="F294" s="5" t="n">
        <v>11</v>
      </c>
    </row>
    <row r="295">
      <c r="A295" s="5" t="inlineStr">
        <is>
          <t>ROUTEUR WIFI 6</t>
        </is>
      </c>
      <c r="B295" s="5" t="n">
        <v>110</v>
      </c>
      <c r="C295" s="5" t="n">
        <v>242</v>
      </c>
      <c r="D295" s="5" t="inlineStr">
        <is>
          <t>Bordeaux</t>
        </is>
      </c>
      <c r="E295" s="5" t="inlineStr">
        <is>
          <t>2025-12-01</t>
        </is>
      </c>
      <c r="F295" s="5" t="n">
        <v>34</v>
      </c>
    </row>
    <row r="296">
      <c r="A296" s="5" t="inlineStr">
        <is>
          <t>Switch 24 ports</t>
        </is>
      </c>
      <c r="B296" s="5" t="n">
        <v>47</v>
      </c>
      <c r="C296" s="5" t="n">
        <v>207</v>
      </c>
      <c r="D296" s="5" t="inlineStr">
        <is>
          <t>Lille</t>
        </is>
      </c>
      <c r="E296" s="5" t="inlineStr">
        <is>
          <t>2026-01-01</t>
        </is>
      </c>
      <c r="F296" s="5" t="n">
        <v>40</v>
      </c>
    </row>
    <row r="297">
      <c r="A297" s="5" t="inlineStr">
        <is>
          <t xml:space="preserve">  Laptop HP ProBook</t>
        </is>
      </c>
      <c r="B297" s="5" t="n">
        <v>26</v>
      </c>
      <c r="C297" s="5" t="n">
        <v>290</v>
      </c>
      <c r="D297" s="5" t="inlineStr">
        <is>
          <t>Lille</t>
        </is>
      </c>
      <c r="E297" s="5" t="inlineStr">
        <is>
          <t>2026-02-06</t>
        </is>
      </c>
      <c r="F297" s="5" t="n">
        <v>26</v>
      </c>
    </row>
    <row r="298">
      <c r="A298" s="5" t="inlineStr">
        <is>
          <t>écran dell 24"</t>
        </is>
      </c>
      <c r="B298" s="5" t="n">
        <v>71</v>
      </c>
      <c r="C298" s="5" t="n">
        <v>40</v>
      </c>
      <c r="D298" s="5" t="inlineStr">
        <is>
          <t>Paris</t>
        </is>
      </c>
      <c r="E298" s="5" t="inlineStr">
        <is>
          <t>2026-01-26</t>
        </is>
      </c>
      <c r="F298" s="5" t="n">
        <v>12</v>
      </c>
    </row>
    <row r="299">
      <c r="A299" s="5" t="inlineStr">
        <is>
          <t>SOURIS LOGITECH MX</t>
        </is>
      </c>
      <c r="B299" s="5" t="n">
        <v>100</v>
      </c>
      <c r="C299" s="5" t="n">
        <v>175</v>
      </c>
      <c r="D299" s="5" t="inlineStr">
        <is>
          <t>Marseille</t>
        </is>
      </c>
      <c r="E299" s="5" t="inlineStr">
        <is>
          <t>2025-11-24</t>
        </is>
      </c>
      <c r="F299" s="5" t="n">
        <v>11</v>
      </c>
    </row>
    <row r="300">
      <c r="A300" s="5" t="inlineStr">
        <is>
          <t>Clavier Mécanique RGB</t>
        </is>
      </c>
      <c r="B300" s="5" t="n">
        <v>60</v>
      </c>
      <c r="C300" s="5" t="n">
        <v>65</v>
      </c>
      <c r="D300" s="5" t="inlineStr">
        <is>
          <t>Paris</t>
        </is>
      </c>
      <c r="E300" s="5" t="inlineStr">
        <is>
          <t>2026-01-24</t>
        </is>
      </c>
      <c r="F300" s="5" t="n">
        <v>34</v>
      </c>
    </row>
    <row r="301">
      <c r="A301" s="5" t="inlineStr">
        <is>
          <t xml:space="preserve">  Webcam HD 1080p</t>
        </is>
      </c>
      <c r="B301" s="5" t="n">
        <v>191</v>
      </c>
      <c r="C301" s="5" t="n">
        <v>272</v>
      </c>
      <c r="D301" s="5" t="inlineStr">
        <is>
          <t>Bordeaux</t>
        </is>
      </c>
      <c r="E301" s="5" t="inlineStr">
        <is>
          <t>2026-02-11</t>
        </is>
      </c>
      <c r="F301" s="5" t="n">
        <v>30</v>
      </c>
    </row>
    <row r="302">
      <c r="A302" s="5" t="inlineStr">
        <is>
          <t>casque audio pro</t>
        </is>
      </c>
      <c r="B302" s="5" t="n">
        <v>111</v>
      </c>
      <c r="C302" s="5" t="n">
        <v>86</v>
      </c>
      <c r="D302" s="5" t="inlineStr">
        <is>
          <t>Bordeaux</t>
        </is>
      </c>
      <c r="E302" s="5" t="inlineStr">
        <is>
          <t>2026-01-24</t>
        </is>
      </c>
      <c r="F302" s="5" t="n">
        <v>32</v>
      </c>
    </row>
    <row r="303">
      <c r="A303" s="5" t="inlineStr">
        <is>
          <t>IMPRIMANTE LASER</t>
        </is>
      </c>
      <c r="B303" s="5" t="n">
        <v>166</v>
      </c>
      <c r="C303" s="5" t="n">
        <v>191</v>
      </c>
      <c r="D303" s="5" t="inlineStr">
        <is>
          <t>Lille</t>
        </is>
      </c>
      <c r="E303" s="5" t="inlineStr">
        <is>
          <t>2025-12-12</t>
        </is>
      </c>
      <c r="F303" s="5" t="n">
        <v>50</v>
      </c>
    </row>
    <row r="304">
      <c r="A304" s="5" t="inlineStr">
        <is>
          <t>Scanner Pro A4</t>
        </is>
      </c>
      <c r="B304" s="5" t="n">
        <v>104</v>
      </c>
      <c r="C304" s="5" t="n">
        <v>236</v>
      </c>
      <c r="D304" s="5" t="inlineStr">
        <is>
          <t>Lille</t>
        </is>
      </c>
      <c r="E304" s="5" t="inlineStr">
        <is>
          <t>2026-02-03</t>
        </is>
      </c>
      <c r="F304" s="5" t="n">
        <v>43</v>
      </c>
    </row>
    <row r="305">
      <c r="A305" s="5" t="inlineStr">
        <is>
          <t xml:space="preserve">  Tablette Graphique</t>
        </is>
      </c>
      <c r="B305" s="5" t="n">
        <v>33</v>
      </c>
      <c r="C305" s="5" t="n">
        <v>82</v>
      </c>
      <c r="D305" s="5" t="inlineStr">
        <is>
          <t>Lille</t>
        </is>
      </c>
      <c r="E305" s="5" t="inlineStr">
        <is>
          <t>2025-11-28</t>
        </is>
      </c>
      <c r="F305" s="5" t="n">
        <v>18</v>
      </c>
    </row>
    <row r="306">
      <c r="A306" s="5" t="inlineStr">
        <is>
          <t>disque ssd 1to</t>
        </is>
      </c>
      <c r="B306" s="5" t="n">
        <v>163</v>
      </c>
      <c r="C306" s="5" t="n">
        <v>206</v>
      </c>
      <c r="D306" s="5" t="inlineStr">
        <is>
          <t>Paris</t>
        </is>
      </c>
      <c r="E306" s="5" t="inlineStr">
        <is>
          <t>2026-01-10</t>
        </is>
      </c>
      <c r="F306" s="5" t="n">
        <v>20</v>
      </c>
    </row>
    <row r="307">
      <c r="A307" s="5" t="inlineStr">
        <is>
          <t>ROUTEUR WIFI 6</t>
        </is>
      </c>
      <c r="B307" s="5" t="n">
        <v>75</v>
      </c>
      <c r="C307" s="5" t="n">
        <v>255</v>
      </c>
      <c r="D307" s="5" t="inlineStr">
        <is>
          <t>Lyon</t>
        </is>
      </c>
      <c r="E307" s="5" t="inlineStr">
        <is>
          <t>2026-01-08</t>
        </is>
      </c>
      <c r="F307" s="5" t="n">
        <v>17</v>
      </c>
    </row>
    <row r="308">
      <c r="A308" s="5" t="inlineStr">
        <is>
          <t>Switch 24 ports</t>
        </is>
      </c>
      <c r="B308" s="5" t="n">
        <v>153</v>
      </c>
      <c r="C308" s="5" t="n">
        <v>186</v>
      </c>
      <c r="D308" s="5" t="inlineStr">
        <is>
          <t>Marseille</t>
        </is>
      </c>
      <c r="E308" s="5" t="inlineStr">
        <is>
          <t>2025-11-29</t>
        </is>
      </c>
      <c r="F308" s="5" t="n">
        <v>15</v>
      </c>
    </row>
    <row r="309">
      <c r="A309" s="5" t="inlineStr">
        <is>
          <t xml:space="preserve">  Laptop HP ProBook</t>
        </is>
      </c>
      <c r="B309" s="5" t="n">
        <v>30</v>
      </c>
      <c r="C309" s="5" t="n">
        <v>233</v>
      </c>
      <c r="D309" s="5" t="inlineStr">
        <is>
          <t>Marseille</t>
        </is>
      </c>
      <c r="E309" s="5" t="inlineStr">
        <is>
          <t>2026-02-07</t>
        </is>
      </c>
      <c r="F309" s="5" t="n">
        <v>27</v>
      </c>
    </row>
    <row r="310">
      <c r="A310" s="5" t="inlineStr">
        <is>
          <t>écran dell 24"</t>
        </is>
      </c>
      <c r="B310" s="5" t="n">
        <v>109</v>
      </c>
      <c r="C310" s="5" t="n">
        <v>294</v>
      </c>
      <c r="D310" s="5" t="inlineStr">
        <is>
          <t>Lille</t>
        </is>
      </c>
      <c r="E310" s="5" t="inlineStr">
        <is>
          <t>2026-01-10</t>
        </is>
      </c>
      <c r="F310" s="5" t="n">
        <v>24</v>
      </c>
    </row>
    <row r="311">
      <c r="A311" s="5" t="inlineStr">
        <is>
          <t>SOURIS LOGITECH MX</t>
        </is>
      </c>
      <c r="B311" s="5" t="n">
        <v>79</v>
      </c>
      <c r="C311" s="5" t="n">
        <v>161</v>
      </c>
      <c r="D311" s="5" t="inlineStr">
        <is>
          <t>Lille</t>
        </is>
      </c>
      <c r="E311" s="5" t="inlineStr">
        <is>
          <t>2026-02-11</t>
        </is>
      </c>
      <c r="F311" s="5" t="n">
        <v>44</v>
      </c>
    </row>
    <row r="312">
      <c r="A312" s="5" t="inlineStr">
        <is>
          <t>Clavier Mécanique RGB</t>
        </is>
      </c>
      <c r="B312" s="5" t="n">
        <v>24</v>
      </c>
      <c r="C312" s="5" t="n">
        <v>140</v>
      </c>
      <c r="D312" s="5" t="inlineStr">
        <is>
          <t>Lyon</t>
        </is>
      </c>
      <c r="E312" s="5" t="inlineStr">
        <is>
          <t>2026-01-06</t>
        </is>
      </c>
      <c r="F312" s="5" t="n">
        <v>32</v>
      </c>
    </row>
    <row r="313">
      <c r="A313" s="5" t="inlineStr">
        <is>
          <t xml:space="preserve">  Webcam HD 1080p</t>
        </is>
      </c>
      <c r="B313" s="5" t="n">
        <v>43</v>
      </c>
      <c r="C313" s="5" t="n">
        <v>125</v>
      </c>
      <c r="D313" s="5" t="inlineStr">
        <is>
          <t>Paris</t>
        </is>
      </c>
      <c r="E313" s="5" t="inlineStr">
        <is>
          <t>2026-02-09</t>
        </is>
      </c>
      <c r="F313" s="5" t="n">
        <v>41</v>
      </c>
    </row>
    <row r="314">
      <c r="A314" s="5" t="inlineStr">
        <is>
          <t>casque audio pro</t>
        </is>
      </c>
      <c r="B314" s="5" t="n">
        <v>96</v>
      </c>
      <c r="C314" s="5" t="n">
        <v>240</v>
      </c>
      <c r="D314" s="5" t="inlineStr">
        <is>
          <t>Bordeaux</t>
        </is>
      </c>
      <c r="E314" s="5" t="inlineStr">
        <is>
          <t>2026-02-09</t>
        </is>
      </c>
      <c r="F314" s="5" t="n">
        <v>49</v>
      </c>
    </row>
    <row r="315">
      <c r="A315" s="5" t="inlineStr">
        <is>
          <t>IMPRIMANTE LASER</t>
        </is>
      </c>
      <c r="B315" s="5" t="n">
        <v>161</v>
      </c>
      <c r="C315" s="5" t="n">
        <v>28</v>
      </c>
      <c r="D315" s="5" t="inlineStr">
        <is>
          <t>Paris</t>
        </is>
      </c>
      <c r="E315" s="5" t="inlineStr">
        <is>
          <t>2025-12-05</t>
        </is>
      </c>
      <c r="F315" s="5" t="n">
        <v>22</v>
      </c>
    </row>
    <row r="316">
      <c r="A316" s="5" t="inlineStr">
        <is>
          <t>Scanner Pro A4</t>
        </is>
      </c>
      <c r="B316" s="5" t="n">
        <v>196</v>
      </c>
      <c r="C316" s="5" t="n">
        <v>65</v>
      </c>
      <c r="D316" s="5" t="inlineStr">
        <is>
          <t>Bordeaux</t>
        </is>
      </c>
      <c r="E316" s="5" t="inlineStr">
        <is>
          <t>2025-12-17</t>
        </is>
      </c>
      <c r="F316" s="5" t="n">
        <v>33</v>
      </c>
    </row>
    <row r="317">
      <c r="A317" s="5" t="inlineStr">
        <is>
          <t xml:space="preserve">  Tablette Graphique</t>
        </is>
      </c>
      <c r="B317" s="5" t="n">
        <v>130</v>
      </c>
      <c r="C317" s="5" t="n">
        <v>26</v>
      </c>
      <c r="D317" s="5" t="inlineStr">
        <is>
          <t>Bordeaux</t>
        </is>
      </c>
      <c r="E317" s="5" t="inlineStr">
        <is>
          <t>2026-01-02</t>
        </is>
      </c>
      <c r="F317" s="5" t="n">
        <v>44</v>
      </c>
    </row>
    <row r="318">
      <c r="A318" s="5" t="inlineStr">
        <is>
          <t>disque ssd 1to</t>
        </is>
      </c>
      <c r="B318" s="5" t="n">
        <v>0</v>
      </c>
      <c r="C318" s="5" t="n">
        <v>50</v>
      </c>
      <c r="D318" s="5" t="inlineStr">
        <is>
          <t>Bordeaux</t>
        </is>
      </c>
      <c r="E318" s="5" t="inlineStr">
        <is>
          <t>2026-01-18</t>
        </is>
      </c>
      <c r="F318" s="5" t="n">
        <v>15</v>
      </c>
    </row>
    <row r="319">
      <c r="A319" s="5" t="inlineStr">
        <is>
          <t>ROUTEUR WIFI 6</t>
        </is>
      </c>
      <c r="B319" s="5" t="n">
        <v>79</v>
      </c>
      <c r="C319" s="5" t="n">
        <v>120</v>
      </c>
      <c r="D319" s="5" t="inlineStr">
        <is>
          <t>Bordeaux</t>
        </is>
      </c>
      <c r="E319" s="5" t="inlineStr">
        <is>
          <t>2026-01-02</t>
        </is>
      </c>
      <c r="F319" s="5" t="n">
        <v>17</v>
      </c>
    </row>
    <row r="320">
      <c r="A320" s="5" t="inlineStr">
        <is>
          <t>Switch 24 ports</t>
        </is>
      </c>
      <c r="B320" s="5" t="n">
        <v>88</v>
      </c>
      <c r="C320" s="5" t="n">
        <v>151</v>
      </c>
      <c r="D320" s="5" t="inlineStr">
        <is>
          <t>Marseille</t>
        </is>
      </c>
      <c r="E320" s="5" t="inlineStr">
        <is>
          <t>2026-02-20</t>
        </is>
      </c>
      <c r="F320" s="5" t="n">
        <v>39</v>
      </c>
    </row>
    <row r="321">
      <c r="A321" s="5" t="inlineStr">
        <is>
          <t xml:space="preserve">  Laptop HP ProBook</t>
        </is>
      </c>
      <c r="B321" s="5" t="n">
        <v>138</v>
      </c>
      <c r="C321" s="5" t="n">
        <v>26</v>
      </c>
      <c r="D321" s="5" t="inlineStr">
        <is>
          <t>Lyon</t>
        </is>
      </c>
      <c r="E321" s="5" t="inlineStr">
        <is>
          <t>2025-11-29</t>
        </is>
      </c>
      <c r="F321" s="5" t="n">
        <v>18</v>
      </c>
    </row>
    <row r="322">
      <c r="A322" s="5" t="inlineStr">
        <is>
          <t>écran dell 24"</t>
        </is>
      </c>
      <c r="B322" s="5" t="n">
        <v>90</v>
      </c>
      <c r="C322" s="5" t="n">
        <v>124</v>
      </c>
      <c r="D322" s="5" t="inlineStr">
        <is>
          <t>Marseille</t>
        </is>
      </c>
      <c r="E322" s="5" t="inlineStr">
        <is>
          <t>2025-12-12</t>
        </is>
      </c>
      <c r="F322" s="5" t="n">
        <v>33</v>
      </c>
    </row>
    <row r="323">
      <c r="A323" s="5" t="inlineStr">
        <is>
          <t>SOURIS LOGITECH MX</t>
        </is>
      </c>
      <c r="B323" s="5" t="n">
        <v>37</v>
      </c>
      <c r="C323" s="5" t="n">
        <v>81</v>
      </c>
      <c r="D323" s="5" t="inlineStr">
        <is>
          <t>Lyon</t>
        </is>
      </c>
      <c r="E323" s="5" t="inlineStr">
        <is>
          <t>2025-12-26</t>
        </is>
      </c>
      <c r="F323" s="5" t="n">
        <v>48</v>
      </c>
    </row>
    <row r="324">
      <c r="A324" s="5" t="inlineStr">
        <is>
          <t>Clavier Mécanique RGB</t>
        </is>
      </c>
      <c r="B324" s="5" t="n">
        <v>59</v>
      </c>
      <c r="C324" s="5" t="n">
        <v>160</v>
      </c>
      <c r="D324" s="5" t="inlineStr">
        <is>
          <t>Lyon</t>
        </is>
      </c>
      <c r="E324" s="5" t="inlineStr">
        <is>
          <t>2025-12-03</t>
        </is>
      </c>
      <c r="F324" s="5" t="n">
        <v>23</v>
      </c>
    </row>
    <row r="325">
      <c r="A325" s="5" t="inlineStr">
        <is>
          <t xml:space="preserve">  Webcam HD 1080p</t>
        </is>
      </c>
      <c r="B325" s="5" t="n">
        <v>56</v>
      </c>
      <c r="C325" s="5" t="n">
        <v>50</v>
      </c>
      <c r="D325" s="5" t="inlineStr">
        <is>
          <t>Bordeaux</t>
        </is>
      </c>
      <c r="E325" s="5" t="inlineStr">
        <is>
          <t>2025-12-11</t>
        </is>
      </c>
      <c r="F325" s="5" t="n">
        <v>22</v>
      </c>
    </row>
    <row r="326">
      <c r="A326" s="5" t="inlineStr">
        <is>
          <t>casque audio pro</t>
        </is>
      </c>
      <c r="B326" s="5" t="n">
        <v>14</v>
      </c>
      <c r="C326" s="5" t="n">
        <v>128</v>
      </c>
      <c r="D326" s="5" t="inlineStr">
        <is>
          <t>Paris</t>
        </is>
      </c>
      <c r="E326" s="5" t="inlineStr">
        <is>
          <t>2026-02-13</t>
        </is>
      </c>
      <c r="F326" s="5" t="n">
        <v>24</v>
      </c>
    </row>
    <row r="327">
      <c r="A327" s="5" t="inlineStr">
        <is>
          <t>IMPRIMANTE LASER</t>
        </is>
      </c>
      <c r="B327" s="5" t="n">
        <v>190</v>
      </c>
      <c r="C327" s="5" t="n">
        <v>197</v>
      </c>
      <c r="D327" s="5" t="inlineStr">
        <is>
          <t>Lyon</t>
        </is>
      </c>
      <c r="E327" s="5" t="inlineStr">
        <is>
          <t>2026-01-02</t>
        </is>
      </c>
      <c r="F327" s="5" t="n">
        <v>25</v>
      </c>
    </row>
    <row r="328">
      <c r="A328" s="5" t="inlineStr">
        <is>
          <t>Scanner Pro A4</t>
        </is>
      </c>
      <c r="B328" s="5" t="n">
        <v>134</v>
      </c>
      <c r="C328" s="5" t="n">
        <v>259</v>
      </c>
      <c r="D328" s="5" t="inlineStr">
        <is>
          <t>Lyon</t>
        </is>
      </c>
      <c r="E328" s="5" t="inlineStr">
        <is>
          <t>2026-01-27</t>
        </is>
      </c>
      <c r="F328" s="5" t="n">
        <v>25</v>
      </c>
    </row>
    <row r="329">
      <c r="A329" s="5" t="inlineStr">
        <is>
          <t xml:space="preserve">  Tablette Graphique</t>
        </is>
      </c>
      <c r="B329" s="5" t="n">
        <v>101</v>
      </c>
      <c r="C329" s="5" t="n">
        <v>147</v>
      </c>
      <c r="D329" s="5" t="inlineStr">
        <is>
          <t>Lyon</t>
        </is>
      </c>
      <c r="E329" s="5" t="inlineStr">
        <is>
          <t>2025-12-28</t>
        </is>
      </c>
      <c r="F329" s="5" t="n">
        <v>31</v>
      </c>
    </row>
    <row r="330">
      <c r="A330" s="5" t="inlineStr">
        <is>
          <t>disque ssd 1to</t>
        </is>
      </c>
      <c r="B330" s="5" t="n">
        <v>129</v>
      </c>
      <c r="C330" s="5" t="n">
        <v>61</v>
      </c>
      <c r="D330" s="5" t="inlineStr">
        <is>
          <t>Marseille</t>
        </is>
      </c>
      <c r="E330" s="5" t="inlineStr">
        <is>
          <t>2026-01-21</t>
        </is>
      </c>
      <c r="F330" s="5" t="n">
        <v>26</v>
      </c>
    </row>
    <row r="331">
      <c r="A331" s="5" t="inlineStr">
        <is>
          <t>ROUTEUR WIFI 6</t>
        </is>
      </c>
      <c r="B331" s="5" t="n">
        <v>150</v>
      </c>
      <c r="C331" s="5" t="n">
        <v>257</v>
      </c>
      <c r="D331" s="5" t="inlineStr">
        <is>
          <t>Bordeaux</t>
        </is>
      </c>
      <c r="E331" s="5" t="inlineStr">
        <is>
          <t>2026-01-10</t>
        </is>
      </c>
      <c r="F331" s="5" t="n">
        <v>29</v>
      </c>
    </row>
    <row r="332">
      <c r="A332" s="5" t="inlineStr">
        <is>
          <t>Switch 24 ports</t>
        </is>
      </c>
      <c r="B332" s="5" t="n">
        <v>18</v>
      </c>
      <c r="C332" s="5" t="n">
        <v>25</v>
      </c>
      <c r="D332" s="5" t="inlineStr">
        <is>
          <t>Lyon</t>
        </is>
      </c>
      <c r="E332" s="5" t="inlineStr">
        <is>
          <t>2025-12-07</t>
        </is>
      </c>
      <c r="F332" s="5" t="n">
        <v>23</v>
      </c>
    </row>
    <row r="333">
      <c r="A333" s="5" t="inlineStr">
        <is>
          <t xml:space="preserve">  Laptop HP ProBook</t>
        </is>
      </c>
      <c r="B333" s="5" t="n">
        <v>126</v>
      </c>
      <c r="C333" s="5" t="n">
        <v>77</v>
      </c>
      <c r="D333" s="5" t="inlineStr">
        <is>
          <t>Lyon</t>
        </is>
      </c>
      <c r="E333" s="5" t="inlineStr">
        <is>
          <t>2026-02-03</t>
        </is>
      </c>
      <c r="F333" s="5" t="n">
        <v>45</v>
      </c>
    </row>
    <row r="334">
      <c r="A334" s="5" t="inlineStr">
        <is>
          <t>écran dell 24"</t>
        </is>
      </c>
      <c r="B334" s="5" t="n">
        <v>69</v>
      </c>
      <c r="C334" s="5" t="n">
        <v>56</v>
      </c>
      <c r="D334" s="5" t="inlineStr">
        <is>
          <t>Paris</t>
        </is>
      </c>
      <c r="E334" s="5" t="inlineStr">
        <is>
          <t>2025-12-19</t>
        </is>
      </c>
      <c r="F334" s="5" t="n">
        <v>45</v>
      </c>
    </row>
    <row r="335">
      <c r="A335" s="5" t="inlineStr">
        <is>
          <t>SOURIS LOGITECH MX</t>
        </is>
      </c>
      <c r="B335" s="5" t="n">
        <v>101</v>
      </c>
      <c r="C335" s="5" t="n">
        <v>219</v>
      </c>
      <c r="D335" s="5" t="inlineStr">
        <is>
          <t>Bordeaux</t>
        </is>
      </c>
      <c r="E335" s="5" t="inlineStr">
        <is>
          <t>2026-01-27</t>
        </is>
      </c>
      <c r="F335" s="5" t="n">
        <v>43</v>
      </c>
    </row>
    <row r="336">
      <c r="A336" s="5" t="inlineStr">
        <is>
          <t>Clavier Mécanique RGB</t>
        </is>
      </c>
      <c r="B336" s="5" t="n">
        <v>99</v>
      </c>
      <c r="C336" s="5" t="n">
        <v>75</v>
      </c>
      <c r="D336" s="5" t="inlineStr">
        <is>
          <t>Lille</t>
        </is>
      </c>
      <c r="E336" s="5" t="inlineStr">
        <is>
          <t>2026-02-02</t>
        </is>
      </c>
      <c r="F336" s="5" t="n">
        <v>37</v>
      </c>
    </row>
    <row r="337">
      <c r="A337" s="5" t="inlineStr">
        <is>
          <t xml:space="preserve">  Webcam HD 1080p</t>
        </is>
      </c>
      <c r="B337" s="5" t="n">
        <v>150</v>
      </c>
      <c r="C337" s="5" t="n">
        <v>217</v>
      </c>
      <c r="D337" s="5" t="inlineStr">
        <is>
          <t>Bordeaux</t>
        </is>
      </c>
      <c r="E337" s="5" t="inlineStr">
        <is>
          <t>2025-11-27</t>
        </is>
      </c>
      <c r="F337" s="5" t="n">
        <v>40</v>
      </c>
    </row>
    <row r="338">
      <c r="A338" s="5" t="inlineStr">
        <is>
          <t>casque audio pro</t>
        </is>
      </c>
      <c r="B338" s="5" t="n">
        <v>86</v>
      </c>
      <c r="C338" s="5" t="n">
        <v>193</v>
      </c>
      <c r="D338" s="5" t="inlineStr">
        <is>
          <t>Bordeaux</t>
        </is>
      </c>
      <c r="E338" s="5" t="inlineStr">
        <is>
          <t>2026-02-09</t>
        </is>
      </c>
      <c r="F338" s="5" t="n">
        <v>37</v>
      </c>
    </row>
    <row r="339">
      <c r="A339" s="5" t="inlineStr">
        <is>
          <t>IMPRIMANTE LASER</t>
        </is>
      </c>
      <c r="B339" s="5" t="n">
        <v>160</v>
      </c>
      <c r="C339" s="5" t="n">
        <v>220</v>
      </c>
      <c r="D339" s="5" t="inlineStr">
        <is>
          <t>Paris</t>
        </is>
      </c>
      <c r="E339" s="5" t="inlineStr">
        <is>
          <t>2026-02-20</t>
        </is>
      </c>
      <c r="F339" s="5" t="n">
        <v>39</v>
      </c>
    </row>
    <row r="340">
      <c r="A340" s="5" t="inlineStr">
        <is>
          <t>Scanner Pro A4</t>
        </is>
      </c>
      <c r="B340" s="5" t="n">
        <v>155</v>
      </c>
      <c r="C340" s="5" t="n">
        <v>151</v>
      </c>
      <c r="D340" s="5" t="inlineStr">
        <is>
          <t>Lyon</t>
        </is>
      </c>
      <c r="E340" s="5" t="inlineStr">
        <is>
          <t>2025-11-25</t>
        </is>
      </c>
      <c r="F340" s="5" t="n">
        <v>34</v>
      </c>
    </row>
    <row r="341">
      <c r="A341" s="5" t="inlineStr">
        <is>
          <t xml:space="preserve">  Tablette Graphique</t>
        </is>
      </c>
      <c r="B341" s="5" t="n">
        <v>31</v>
      </c>
      <c r="C341" s="5" t="n">
        <v>294</v>
      </c>
      <c r="D341" s="5" t="inlineStr">
        <is>
          <t>Lille</t>
        </is>
      </c>
      <c r="E341" s="5" t="inlineStr">
        <is>
          <t>2025-12-08</t>
        </is>
      </c>
      <c r="F341" s="5" t="n">
        <v>26</v>
      </c>
    </row>
    <row r="342">
      <c r="A342" s="5" t="inlineStr">
        <is>
          <t>disque ssd 1to</t>
        </is>
      </c>
      <c r="B342" s="5" t="n">
        <v>112</v>
      </c>
      <c r="C342" s="5" t="n">
        <v>155</v>
      </c>
      <c r="D342" s="5" t="inlineStr">
        <is>
          <t>Paris</t>
        </is>
      </c>
      <c r="E342" s="5" t="inlineStr">
        <is>
          <t>2025-11-25</t>
        </is>
      </c>
      <c r="F342" s="5" t="n">
        <v>41</v>
      </c>
    </row>
    <row r="343">
      <c r="A343" s="5" t="inlineStr">
        <is>
          <t>ROUTEUR WIFI 6</t>
        </is>
      </c>
      <c r="B343" s="5" t="n">
        <v>59</v>
      </c>
      <c r="C343" s="5" t="n">
        <v>256</v>
      </c>
      <c r="D343" s="5" t="inlineStr">
        <is>
          <t>Paris</t>
        </is>
      </c>
      <c r="E343" s="5" t="inlineStr">
        <is>
          <t>2025-12-13</t>
        </is>
      </c>
      <c r="F343" s="5" t="n">
        <v>46</v>
      </c>
    </row>
    <row r="344">
      <c r="A344" s="5" t="inlineStr">
        <is>
          <t>Switch 24 ports</t>
        </is>
      </c>
      <c r="B344" s="5" t="n">
        <v>7</v>
      </c>
      <c r="C344" s="5" t="n">
        <v>162</v>
      </c>
      <c r="D344" s="5" t="inlineStr">
        <is>
          <t>Bordeaux</t>
        </is>
      </c>
      <c r="E344" s="5" t="inlineStr">
        <is>
          <t>2026-02-16</t>
        </is>
      </c>
      <c r="F344" s="5" t="n">
        <v>36</v>
      </c>
    </row>
    <row r="345">
      <c r="A345" s="5" t="inlineStr">
        <is>
          <t xml:space="preserve">  Laptop HP ProBook</t>
        </is>
      </c>
      <c r="B345" s="5" t="n">
        <v>127</v>
      </c>
      <c r="C345" s="5" t="n">
        <v>29</v>
      </c>
      <c r="D345" s="5" t="inlineStr">
        <is>
          <t>Marseille</t>
        </is>
      </c>
      <c r="E345" s="5" t="inlineStr">
        <is>
          <t>2026-02-09</t>
        </is>
      </c>
      <c r="F345" s="5" t="n">
        <v>45</v>
      </c>
    </row>
    <row r="346">
      <c r="A346" s="5" t="inlineStr">
        <is>
          <t>écran dell 24"</t>
        </is>
      </c>
      <c r="B346" s="5" t="n">
        <v>101</v>
      </c>
      <c r="C346" s="5" t="n">
        <v>177</v>
      </c>
      <c r="D346" s="5" t="inlineStr">
        <is>
          <t>Bordeaux</t>
        </is>
      </c>
      <c r="E346" s="5" t="inlineStr">
        <is>
          <t>2025-12-19</t>
        </is>
      </c>
      <c r="F346" s="5" t="n">
        <v>12</v>
      </c>
    </row>
    <row r="347">
      <c r="A347" s="5" t="inlineStr">
        <is>
          <t>SOURIS LOGITECH MX</t>
        </is>
      </c>
      <c r="B347" s="5" t="n">
        <v>125</v>
      </c>
      <c r="C347" s="5" t="n">
        <v>155</v>
      </c>
      <c r="D347" s="5" t="inlineStr">
        <is>
          <t>Bordeaux</t>
        </is>
      </c>
      <c r="E347" s="5" t="inlineStr">
        <is>
          <t>2026-02-04</t>
        </is>
      </c>
      <c r="F347" s="5" t="n">
        <v>45</v>
      </c>
    </row>
    <row r="348">
      <c r="A348" s="5" t="inlineStr">
        <is>
          <t>Clavier Mécanique RGB</t>
        </is>
      </c>
      <c r="B348" s="5" t="n">
        <v>147</v>
      </c>
      <c r="C348" s="5" t="n">
        <v>206</v>
      </c>
      <c r="D348" s="5" t="inlineStr">
        <is>
          <t>Lyon</t>
        </is>
      </c>
      <c r="E348" s="5" t="inlineStr">
        <is>
          <t>2025-12-24</t>
        </is>
      </c>
      <c r="F348" s="5" t="n">
        <v>49</v>
      </c>
    </row>
    <row r="349">
      <c r="A349" s="5" t="inlineStr">
        <is>
          <t xml:space="preserve">  Webcam HD 1080p</t>
        </is>
      </c>
      <c r="B349" s="5" t="n">
        <v>115</v>
      </c>
      <c r="C349" s="5" t="n">
        <v>231</v>
      </c>
      <c r="D349" s="5" t="inlineStr">
        <is>
          <t>Lyon</t>
        </is>
      </c>
      <c r="E349" s="5" t="inlineStr">
        <is>
          <t>2025-12-30</t>
        </is>
      </c>
      <c r="F349" s="5" t="n">
        <v>10</v>
      </c>
    </row>
    <row r="350">
      <c r="A350" s="5" t="inlineStr">
        <is>
          <t>casque audio pro</t>
        </is>
      </c>
      <c r="B350" s="5" t="n">
        <v>25</v>
      </c>
      <c r="C350" s="5" t="n">
        <v>148</v>
      </c>
      <c r="D350" s="5" t="inlineStr">
        <is>
          <t>Lille</t>
        </is>
      </c>
      <c r="E350" s="5" t="inlineStr">
        <is>
          <t>2026-02-02</t>
        </is>
      </c>
      <c r="F350" s="5" t="n">
        <v>31</v>
      </c>
    </row>
    <row r="351">
      <c r="A351" s="5" t="inlineStr">
        <is>
          <t>IMPRIMANTE LASER</t>
        </is>
      </c>
      <c r="B351" s="5" t="n">
        <v>62</v>
      </c>
      <c r="C351" s="5" t="n">
        <v>47</v>
      </c>
      <c r="D351" s="5" t="inlineStr">
        <is>
          <t>Lyon</t>
        </is>
      </c>
      <c r="E351" s="5" t="inlineStr">
        <is>
          <t>2026-02-20</t>
        </is>
      </c>
      <c r="F351" s="5" t="n">
        <v>44</v>
      </c>
    </row>
    <row r="352">
      <c r="A352" s="5" t="inlineStr">
        <is>
          <t>Scanner Pro A4</t>
        </is>
      </c>
      <c r="B352" s="5" t="n">
        <v>171</v>
      </c>
      <c r="C352" s="5" t="n">
        <v>179</v>
      </c>
      <c r="D352" s="5" t="inlineStr">
        <is>
          <t>Marseille</t>
        </is>
      </c>
      <c r="E352" s="5" t="inlineStr">
        <is>
          <t>2025-12-30</t>
        </is>
      </c>
      <c r="F352" s="5" t="n">
        <v>25</v>
      </c>
    </row>
    <row r="353">
      <c r="A353" s="5" t="inlineStr">
        <is>
          <t xml:space="preserve">  Tablette Graphique</t>
        </is>
      </c>
      <c r="B353" s="5" t="n">
        <v>170</v>
      </c>
      <c r="C353" s="5" t="n">
        <v>296</v>
      </c>
      <c r="D353" s="5" t="inlineStr">
        <is>
          <t>Lille</t>
        </is>
      </c>
      <c r="E353" s="5" t="inlineStr">
        <is>
          <t>2026-01-04</t>
        </is>
      </c>
      <c r="F353" s="5" t="n">
        <v>24</v>
      </c>
    </row>
    <row r="354">
      <c r="A354" s="5" t="inlineStr">
        <is>
          <t>disque ssd 1to</t>
        </is>
      </c>
      <c r="B354" s="5" t="n">
        <v>120</v>
      </c>
      <c r="C354" s="5" t="n">
        <v>282</v>
      </c>
      <c r="D354" s="5" t="inlineStr">
        <is>
          <t>Paris</t>
        </is>
      </c>
      <c r="E354" s="5" t="inlineStr">
        <is>
          <t>2026-01-29</t>
        </is>
      </c>
      <c r="F354" s="5" t="n">
        <v>43</v>
      </c>
    </row>
    <row r="355">
      <c r="A355" s="5" t="inlineStr">
        <is>
          <t>ROUTEUR WIFI 6</t>
        </is>
      </c>
      <c r="B355" s="5" t="n">
        <v>51</v>
      </c>
      <c r="C355" s="5" t="n">
        <v>277</v>
      </c>
      <c r="D355" s="5" t="inlineStr">
        <is>
          <t>Marseille</t>
        </is>
      </c>
      <c r="E355" s="5" t="inlineStr">
        <is>
          <t>2025-12-01</t>
        </is>
      </c>
      <c r="F355" s="5" t="n">
        <v>38</v>
      </c>
    </row>
    <row r="356">
      <c r="A356" s="5" t="inlineStr">
        <is>
          <t>Switch 24 ports</t>
        </is>
      </c>
      <c r="B356" s="5" t="n">
        <v>100</v>
      </c>
      <c r="C356" s="5" t="n">
        <v>276</v>
      </c>
      <c r="D356" s="5" t="inlineStr">
        <is>
          <t>Marseille</t>
        </is>
      </c>
      <c r="E356" s="5" t="inlineStr">
        <is>
          <t>2025-12-16</t>
        </is>
      </c>
      <c r="F356" s="5" t="n">
        <v>44</v>
      </c>
    </row>
    <row r="357">
      <c r="A357" s="5" t="inlineStr">
        <is>
          <t xml:space="preserve">  Laptop HP ProBook</t>
        </is>
      </c>
      <c r="B357" s="5" t="n">
        <v>156</v>
      </c>
      <c r="C357" s="5" t="n">
        <v>261</v>
      </c>
      <c r="D357" s="5" t="inlineStr">
        <is>
          <t>Lille</t>
        </is>
      </c>
      <c r="E357" s="5" t="inlineStr">
        <is>
          <t>2026-01-25</t>
        </is>
      </c>
      <c r="F357" s="5" t="n">
        <v>35</v>
      </c>
    </row>
    <row r="358">
      <c r="A358" s="5" t="inlineStr">
        <is>
          <t>écran dell 24"</t>
        </is>
      </c>
      <c r="B358" s="5" t="n">
        <v>144</v>
      </c>
      <c r="C358" s="5" t="n">
        <v>264</v>
      </c>
      <c r="D358" s="5" t="inlineStr">
        <is>
          <t>Marseille</t>
        </is>
      </c>
      <c r="E358" s="5" t="inlineStr">
        <is>
          <t>2026-01-23</t>
        </is>
      </c>
      <c r="F358" s="5" t="n">
        <v>34</v>
      </c>
    </row>
    <row r="359">
      <c r="A359" s="5" t="inlineStr">
        <is>
          <t>SOURIS LOGITECH MX</t>
        </is>
      </c>
      <c r="B359" s="5" t="n">
        <v>106</v>
      </c>
      <c r="C359" s="5" t="n">
        <v>33</v>
      </c>
      <c r="D359" s="5" t="inlineStr">
        <is>
          <t>Paris</t>
        </is>
      </c>
      <c r="E359" s="5" t="inlineStr">
        <is>
          <t>2025-11-24</t>
        </is>
      </c>
      <c r="F359" s="5" t="n">
        <v>17</v>
      </c>
    </row>
    <row r="360">
      <c r="A360" s="5" t="inlineStr">
        <is>
          <t>Clavier Mécanique RGB</t>
        </is>
      </c>
      <c r="B360" s="5" t="n">
        <v>100</v>
      </c>
      <c r="C360" s="5" t="n">
        <v>225</v>
      </c>
      <c r="D360" s="5" t="inlineStr">
        <is>
          <t>Paris</t>
        </is>
      </c>
      <c r="E360" s="5" t="inlineStr">
        <is>
          <t>2025-12-05</t>
        </is>
      </c>
      <c r="F360" s="5" t="n">
        <v>13</v>
      </c>
    </row>
    <row r="361">
      <c r="A361" s="5" t="inlineStr">
        <is>
          <t xml:space="preserve">  Webcam HD 1080p</t>
        </is>
      </c>
      <c r="B361" s="5" t="n">
        <v>59</v>
      </c>
      <c r="C361" s="5" t="n">
        <v>68</v>
      </c>
      <c r="D361" s="5" t="inlineStr">
        <is>
          <t>Marseille</t>
        </is>
      </c>
      <c r="E361" s="5" t="inlineStr">
        <is>
          <t>2026-02-03</t>
        </is>
      </c>
      <c r="F361" s="5" t="n">
        <v>35</v>
      </c>
    </row>
    <row r="362">
      <c r="A362" s="5" t="inlineStr">
        <is>
          <t>casque audio pro</t>
        </is>
      </c>
      <c r="B362" s="5" t="n">
        <v>94</v>
      </c>
      <c r="C362" s="5" t="n">
        <v>227</v>
      </c>
      <c r="D362" s="5" t="inlineStr">
        <is>
          <t>Bordeaux</t>
        </is>
      </c>
      <c r="E362" s="5" t="inlineStr">
        <is>
          <t>2026-01-13</t>
        </is>
      </c>
      <c r="F362" s="5" t="n">
        <v>26</v>
      </c>
    </row>
    <row r="363">
      <c r="A363" s="5" t="inlineStr">
        <is>
          <t>IMPRIMANTE LASER</t>
        </is>
      </c>
      <c r="B363" s="5" t="n">
        <v>126</v>
      </c>
      <c r="C363" s="5" t="n">
        <v>168</v>
      </c>
      <c r="D363" s="5" t="inlineStr">
        <is>
          <t>Lyon</t>
        </is>
      </c>
      <c r="E363" s="5" t="inlineStr">
        <is>
          <t>2026-02-13</t>
        </is>
      </c>
      <c r="F363" s="5" t="n">
        <v>40</v>
      </c>
    </row>
    <row r="364">
      <c r="A364" s="5" t="inlineStr">
        <is>
          <t>Scanner Pro A4</t>
        </is>
      </c>
      <c r="B364" s="5" t="n">
        <v>142</v>
      </c>
      <c r="C364" s="5" t="n">
        <v>117</v>
      </c>
      <c r="D364" s="5" t="inlineStr">
        <is>
          <t>Bordeaux</t>
        </is>
      </c>
      <c r="E364" s="5" t="inlineStr">
        <is>
          <t>2026-01-30</t>
        </is>
      </c>
      <c r="F364" s="5" t="n">
        <v>31</v>
      </c>
    </row>
    <row r="365">
      <c r="A365" s="5" t="inlineStr">
        <is>
          <t xml:space="preserve">  Tablette Graphique</t>
        </is>
      </c>
      <c r="B365" s="5" t="n">
        <v>168</v>
      </c>
      <c r="C365" s="5" t="n">
        <v>257</v>
      </c>
      <c r="D365" s="5" t="inlineStr">
        <is>
          <t>Marseille</t>
        </is>
      </c>
      <c r="E365" s="5" t="inlineStr">
        <is>
          <t>2025-11-30</t>
        </is>
      </c>
      <c r="F365" s="5" t="n">
        <v>11</v>
      </c>
    </row>
    <row r="366">
      <c r="A366" s="5" t="inlineStr">
        <is>
          <t>disque ssd 1to</t>
        </is>
      </c>
      <c r="B366" s="5" t="n">
        <v>55</v>
      </c>
      <c r="C366" s="5" t="n">
        <v>180</v>
      </c>
      <c r="D366" s="5" t="inlineStr">
        <is>
          <t>Lyon</t>
        </is>
      </c>
      <c r="E366" s="5" t="inlineStr">
        <is>
          <t>2026-01-09</t>
        </is>
      </c>
      <c r="F366" s="5" t="n">
        <v>26</v>
      </c>
    </row>
    <row r="367">
      <c r="A367" s="5" t="inlineStr">
        <is>
          <t>ROUTEUR WIFI 6</t>
        </is>
      </c>
      <c r="B367" s="5" t="n">
        <v>12</v>
      </c>
      <c r="C367" s="5" t="n">
        <v>134</v>
      </c>
      <c r="D367" s="5" t="inlineStr">
        <is>
          <t>Marseille</t>
        </is>
      </c>
      <c r="E367" s="5" t="inlineStr">
        <is>
          <t>2026-01-28</t>
        </is>
      </c>
      <c r="F367" s="5" t="n">
        <v>47</v>
      </c>
    </row>
    <row r="368">
      <c r="A368" s="5" t="inlineStr">
        <is>
          <t>Switch 24 ports</t>
        </is>
      </c>
      <c r="B368" s="5" t="n">
        <v>0</v>
      </c>
      <c r="C368" s="5" t="n">
        <v>205</v>
      </c>
      <c r="D368" s="5" t="inlineStr">
        <is>
          <t>Lille</t>
        </is>
      </c>
      <c r="E368" s="5" t="inlineStr">
        <is>
          <t>2026-01-27</t>
        </is>
      </c>
      <c r="F368" s="5" t="n">
        <v>42</v>
      </c>
    </row>
    <row r="369">
      <c r="A369" s="5" t="inlineStr">
        <is>
          <t xml:space="preserve">  Laptop HP ProBook</t>
        </is>
      </c>
      <c r="B369" s="5" t="n">
        <v>36</v>
      </c>
      <c r="C369" s="5" t="n">
        <v>203</v>
      </c>
      <c r="D369" s="5" t="inlineStr">
        <is>
          <t>Paris</t>
        </is>
      </c>
      <c r="E369" s="5" t="inlineStr">
        <is>
          <t>2025-12-02</t>
        </is>
      </c>
      <c r="F369" s="5" t="n">
        <v>43</v>
      </c>
    </row>
    <row r="370">
      <c r="A370" s="5" t="inlineStr">
        <is>
          <t>écran dell 24"</t>
        </is>
      </c>
      <c r="B370" s="5" t="n">
        <v>128</v>
      </c>
      <c r="C370" s="5" t="n">
        <v>252</v>
      </c>
      <c r="D370" s="5" t="inlineStr">
        <is>
          <t>Paris</t>
        </is>
      </c>
      <c r="E370" s="5" t="inlineStr">
        <is>
          <t>2025-11-24</t>
        </is>
      </c>
      <c r="F370" s="5" t="n">
        <v>22</v>
      </c>
    </row>
    <row r="371">
      <c r="A371" s="5" t="inlineStr">
        <is>
          <t>SOURIS LOGITECH MX</t>
        </is>
      </c>
      <c r="B371" s="5" t="n">
        <v>16</v>
      </c>
      <c r="C371" s="5" t="n">
        <v>150</v>
      </c>
      <c r="D371" s="5" t="inlineStr">
        <is>
          <t>Paris</t>
        </is>
      </c>
      <c r="E371" s="5" t="inlineStr">
        <is>
          <t>2025-12-17</t>
        </is>
      </c>
      <c r="F371" s="5" t="n">
        <v>44</v>
      </c>
    </row>
    <row r="372">
      <c r="A372" s="5" t="inlineStr">
        <is>
          <t>Clavier Mécanique RGB</t>
        </is>
      </c>
      <c r="B372" s="5" t="n">
        <v>146</v>
      </c>
      <c r="C372" s="5" t="n">
        <v>162</v>
      </c>
      <c r="D372" s="5" t="inlineStr">
        <is>
          <t>Paris</t>
        </is>
      </c>
      <c r="E372" s="5" t="inlineStr">
        <is>
          <t>2025-12-22</t>
        </is>
      </c>
      <c r="F372" s="5" t="n">
        <v>24</v>
      </c>
    </row>
    <row r="373">
      <c r="A373" s="5" t="inlineStr">
        <is>
          <t xml:space="preserve">  Webcam HD 1080p</t>
        </is>
      </c>
      <c r="B373" s="5" t="n">
        <v>150</v>
      </c>
      <c r="C373" s="5" t="n">
        <v>127</v>
      </c>
      <c r="D373" s="5" t="inlineStr">
        <is>
          <t>Lyon</t>
        </is>
      </c>
      <c r="E373" s="5" t="inlineStr">
        <is>
          <t>2026-02-13</t>
        </is>
      </c>
      <c r="F373" s="5" t="n">
        <v>39</v>
      </c>
    </row>
    <row r="374">
      <c r="A374" s="5" t="inlineStr">
        <is>
          <t>casque audio pro</t>
        </is>
      </c>
      <c r="B374" s="5" t="n">
        <v>12</v>
      </c>
      <c r="C374" s="5" t="n">
        <v>280</v>
      </c>
      <c r="D374" s="5" t="inlineStr">
        <is>
          <t>Lyon</t>
        </is>
      </c>
      <c r="E374" s="5" t="inlineStr">
        <is>
          <t>2026-02-03</t>
        </is>
      </c>
      <c r="F374" s="5" t="n">
        <v>12</v>
      </c>
    </row>
    <row r="375">
      <c r="A375" s="5" t="inlineStr">
        <is>
          <t>IMPRIMANTE LASER</t>
        </is>
      </c>
      <c r="B375" s="5" t="n">
        <v>48</v>
      </c>
      <c r="C375" s="5" t="n">
        <v>296</v>
      </c>
      <c r="D375" s="5" t="inlineStr">
        <is>
          <t>Bordeaux</t>
        </is>
      </c>
      <c r="E375" s="5" t="inlineStr">
        <is>
          <t>2026-01-23</t>
        </is>
      </c>
      <c r="F375" s="5" t="n">
        <v>27</v>
      </c>
    </row>
    <row r="376">
      <c r="A376" s="5" t="inlineStr">
        <is>
          <t>Scanner Pro A4</t>
        </is>
      </c>
      <c r="B376" s="5" t="n">
        <v>129</v>
      </c>
      <c r="C376" s="5" t="n">
        <v>258</v>
      </c>
      <c r="D376" s="5" t="inlineStr">
        <is>
          <t>Bordeaux</t>
        </is>
      </c>
      <c r="E376" s="5" t="inlineStr">
        <is>
          <t>2026-01-14</t>
        </is>
      </c>
      <c r="F376" s="5" t="n">
        <v>17</v>
      </c>
    </row>
    <row r="377">
      <c r="A377" s="5" t="inlineStr">
        <is>
          <t xml:space="preserve">  Tablette Graphique</t>
        </is>
      </c>
      <c r="B377" s="5" t="n">
        <v>155</v>
      </c>
      <c r="C377" s="5" t="n">
        <v>38</v>
      </c>
      <c r="D377" s="5" t="inlineStr">
        <is>
          <t>Paris</t>
        </is>
      </c>
      <c r="E377" s="5" t="inlineStr">
        <is>
          <t>2026-01-04</t>
        </is>
      </c>
      <c r="F377" s="5" t="n">
        <v>10</v>
      </c>
    </row>
    <row r="378">
      <c r="A378" s="5" t="inlineStr">
        <is>
          <t>disque ssd 1to</t>
        </is>
      </c>
      <c r="B378" s="5" t="n">
        <v>86</v>
      </c>
      <c r="C378" s="5" t="n">
        <v>267</v>
      </c>
      <c r="D378" s="5" t="inlineStr">
        <is>
          <t>Bordeaux</t>
        </is>
      </c>
      <c r="E378" s="5" t="inlineStr">
        <is>
          <t>2025-12-07</t>
        </is>
      </c>
      <c r="F378" s="5" t="n">
        <v>21</v>
      </c>
    </row>
    <row r="379">
      <c r="A379" s="5" t="inlineStr">
        <is>
          <t>ROUTEUR WIFI 6</t>
        </is>
      </c>
      <c r="B379" s="5" t="n">
        <v>92</v>
      </c>
      <c r="C379" s="5" t="n">
        <v>162</v>
      </c>
      <c r="D379" s="5" t="inlineStr">
        <is>
          <t>Bordeaux</t>
        </is>
      </c>
      <c r="E379" s="5" t="inlineStr">
        <is>
          <t>2025-12-23</t>
        </is>
      </c>
      <c r="F379" s="5" t="n">
        <v>14</v>
      </c>
    </row>
    <row r="380">
      <c r="A380" s="5" t="inlineStr">
        <is>
          <t>Switch 24 ports</t>
        </is>
      </c>
      <c r="B380" s="5" t="n">
        <v>135</v>
      </c>
      <c r="C380" s="5" t="n">
        <v>69</v>
      </c>
      <c r="D380" s="5" t="inlineStr">
        <is>
          <t>Marseille</t>
        </is>
      </c>
      <c r="E380" s="5" t="inlineStr">
        <is>
          <t>2026-02-17</t>
        </is>
      </c>
      <c r="F380" s="5" t="n">
        <v>37</v>
      </c>
    </row>
    <row r="381">
      <c r="A381" s="5" t="inlineStr">
        <is>
          <t xml:space="preserve">  Laptop HP ProBook</t>
        </is>
      </c>
      <c r="B381" s="5" t="n">
        <v>31</v>
      </c>
      <c r="C381" s="5" t="n">
        <v>66</v>
      </c>
      <c r="D381" s="5" t="inlineStr">
        <is>
          <t>Lille</t>
        </is>
      </c>
      <c r="E381" s="5" t="inlineStr">
        <is>
          <t>2026-02-13</t>
        </is>
      </c>
      <c r="F381" s="5" t="n">
        <v>14</v>
      </c>
    </row>
    <row r="382">
      <c r="A382" s="5" t="inlineStr">
        <is>
          <t>écran dell 24"</t>
        </is>
      </c>
      <c r="B382" s="5" t="n">
        <v>112</v>
      </c>
      <c r="C382" s="5" t="n">
        <v>271</v>
      </c>
      <c r="D382" s="5" t="inlineStr">
        <is>
          <t>Marseille</t>
        </is>
      </c>
      <c r="E382" s="5" t="inlineStr">
        <is>
          <t>2026-01-28</t>
        </is>
      </c>
      <c r="F382" s="5" t="n">
        <v>11</v>
      </c>
    </row>
    <row r="383">
      <c r="A383" s="5" t="inlineStr">
        <is>
          <t>SOURIS LOGITECH MX</t>
        </is>
      </c>
      <c r="B383" s="5" t="n">
        <v>130</v>
      </c>
      <c r="C383" s="5" t="n">
        <v>104</v>
      </c>
      <c r="D383" s="5" t="inlineStr">
        <is>
          <t>Lille</t>
        </is>
      </c>
      <c r="E383" s="5" t="inlineStr">
        <is>
          <t>2026-02-21</t>
        </is>
      </c>
      <c r="F383" s="5" t="n">
        <v>26</v>
      </c>
    </row>
    <row r="384">
      <c r="A384" s="5" t="inlineStr">
        <is>
          <t>Clavier Mécanique RGB</t>
        </is>
      </c>
      <c r="B384" s="5" t="n">
        <v>22</v>
      </c>
      <c r="C384" s="5" t="n">
        <v>225</v>
      </c>
      <c r="D384" s="5" t="inlineStr">
        <is>
          <t>Marseille</t>
        </is>
      </c>
      <c r="E384" s="5" t="inlineStr">
        <is>
          <t>2026-02-04</t>
        </is>
      </c>
      <c r="F384" s="5" t="n">
        <v>13</v>
      </c>
    </row>
    <row r="385">
      <c r="A385" s="5" t="inlineStr">
        <is>
          <t xml:space="preserve">  Webcam HD 1080p</t>
        </is>
      </c>
      <c r="B385" s="5" t="n">
        <v>96</v>
      </c>
      <c r="C385" s="5" t="n">
        <v>35</v>
      </c>
      <c r="D385" s="5" t="inlineStr">
        <is>
          <t>Lyon</t>
        </is>
      </c>
      <c r="E385" s="5" t="inlineStr">
        <is>
          <t>2025-12-25</t>
        </is>
      </c>
      <c r="F385" s="5" t="n">
        <v>48</v>
      </c>
    </row>
    <row r="386">
      <c r="A386" s="5" t="inlineStr">
        <is>
          <t>casque audio pro</t>
        </is>
      </c>
      <c r="B386" s="5" t="n">
        <v>71</v>
      </c>
      <c r="C386" s="5" t="n">
        <v>158</v>
      </c>
      <c r="D386" s="5" t="inlineStr">
        <is>
          <t>Lille</t>
        </is>
      </c>
      <c r="E386" s="5" t="inlineStr">
        <is>
          <t>2025-12-20</t>
        </is>
      </c>
      <c r="F386" s="5" t="n">
        <v>36</v>
      </c>
    </row>
    <row r="387">
      <c r="A387" s="5" t="inlineStr">
        <is>
          <t>IMPRIMANTE LASER</t>
        </is>
      </c>
      <c r="B387" s="5" t="n">
        <v>198</v>
      </c>
      <c r="C387" s="5" t="n">
        <v>192</v>
      </c>
      <c r="D387" s="5" t="inlineStr">
        <is>
          <t>Marseille</t>
        </is>
      </c>
      <c r="E387" s="5" t="inlineStr">
        <is>
          <t>2026-02-20</t>
        </is>
      </c>
      <c r="F387" s="5" t="n">
        <v>21</v>
      </c>
    </row>
    <row r="388">
      <c r="A388" s="5" t="inlineStr">
        <is>
          <t>Scanner Pro A4</t>
        </is>
      </c>
      <c r="B388" s="5" t="n">
        <v>136</v>
      </c>
      <c r="C388" s="5" t="n">
        <v>276</v>
      </c>
      <c r="D388" s="5" t="inlineStr">
        <is>
          <t>Marseille</t>
        </is>
      </c>
      <c r="E388" s="5" t="inlineStr">
        <is>
          <t>2026-01-08</t>
        </is>
      </c>
      <c r="F388" s="5" t="n">
        <v>16</v>
      </c>
    </row>
    <row r="389">
      <c r="A389" s="5" t="inlineStr">
        <is>
          <t xml:space="preserve">  Tablette Graphique</t>
        </is>
      </c>
      <c r="B389" s="5" t="n">
        <v>47</v>
      </c>
      <c r="C389" s="5" t="n">
        <v>299</v>
      </c>
      <c r="D389" s="5" t="inlineStr">
        <is>
          <t>Lyon</t>
        </is>
      </c>
      <c r="E389" s="5" t="inlineStr">
        <is>
          <t>2026-01-08</t>
        </is>
      </c>
      <c r="F389" s="5" t="n">
        <v>14</v>
      </c>
    </row>
    <row r="390">
      <c r="A390" s="5" t="inlineStr">
        <is>
          <t>disque ssd 1to</t>
        </is>
      </c>
      <c r="B390" s="5" t="n">
        <v>80</v>
      </c>
      <c r="C390" s="5" t="n">
        <v>44</v>
      </c>
      <c r="D390" s="5" t="inlineStr">
        <is>
          <t>Lille</t>
        </is>
      </c>
      <c r="E390" s="5" t="inlineStr">
        <is>
          <t>2026-01-14</t>
        </is>
      </c>
      <c r="F390" s="5" t="n">
        <v>12</v>
      </c>
    </row>
    <row r="391">
      <c r="A391" s="5" t="inlineStr">
        <is>
          <t>ROUTEUR WIFI 6</t>
        </is>
      </c>
      <c r="B391" s="5" t="n">
        <v>83</v>
      </c>
      <c r="C391" s="5" t="n">
        <v>203</v>
      </c>
      <c r="D391" s="5" t="inlineStr">
        <is>
          <t>Bordeaux</t>
        </is>
      </c>
      <c r="E391" s="5" t="inlineStr">
        <is>
          <t>2026-01-31</t>
        </is>
      </c>
      <c r="F391" s="5" t="n">
        <v>17</v>
      </c>
    </row>
    <row r="392">
      <c r="A392" s="5" t="inlineStr">
        <is>
          <t>Switch 24 ports</t>
        </is>
      </c>
      <c r="B392" s="5" t="n">
        <v>130</v>
      </c>
      <c r="C392" s="5" t="n">
        <v>74</v>
      </c>
      <c r="D392" s="5" t="inlineStr">
        <is>
          <t>Paris</t>
        </is>
      </c>
      <c r="E392" s="5" t="inlineStr">
        <is>
          <t>2026-01-15</t>
        </is>
      </c>
      <c r="F392" s="5" t="n">
        <v>29</v>
      </c>
    </row>
    <row r="393">
      <c r="A393" s="5" t="inlineStr">
        <is>
          <t xml:space="preserve">  Laptop HP ProBook</t>
        </is>
      </c>
      <c r="B393" s="5" t="n">
        <v>185</v>
      </c>
      <c r="C393" s="5" t="n">
        <v>104</v>
      </c>
      <c r="D393" s="5" t="inlineStr">
        <is>
          <t>Paris</t>
        </is>
      </c>
      <c r="E393" s="5" t="inlineStr">
        <is>
          <t>2025-11-30</t>
        </is>
      </c>
      <c r="F393" s="5" t="n">
        <v>16</v>
      </c>
    </row>
    <row r="394">
      <c r="A394" s="5" t="inlineStr">
        <is>
          <t>écran dell 24"</t>
        </is>
      </c>
      <c r="B394" s="5" t="n">
        <v>24</v>
      </c>
      <c r="C394" s="5" t="n">
        <v>252</v>
      </c>
      <c r="D394" s="5" t="inlineStr">
        <is>
          <t>Paris</t>
        </is>
      </c>
      <c r="E394" s="5" t="inlineStr">
        <is>
          <t>2025-12-02</t>
        </is>
      </c>
      <c r="F394" s="5" t="n">
        <v>11</v>
      </c>
    </row>
    <row r="395">
      <c r="A395" s="5" t="inlineStr">
        <is>
          <t>SOURIS LOGITECH MX</t>
        </is>
      </c>
      <c r="B395" s="5" t="n">
        <v>49</v>
      </c>
      <c r="C395" s="5" t="n">
        <v>128</v>
      </c>
      <c r="D395" s="5" t="inlineStr">
        <is>
          <t>Paris</t>
        </is>
      </c>
      <c r="E395" s="5" t="inlineStr">
        <is>
          <t>2026-01-28</t>
        </is>
      </c>
      <c r="F395" s="5" t="n">
        <v>21</v>
      </c>
    </row>
    <row r="396">
      <c r="A396" s="5" t="inlineStr">
        <is>
          <t>Clavier Mécanique RGB</t>
        </is>
      </c>
      <c r="B396" s="5" t="n">
        <v>36</v>
      </c>
      <c r="C396" s="5" t="n">
        <v>123</v>
      </c>
      <c r="D396" s="5" t="inlineStr">
        <is>
          <t>Paris</t>
        </is>
      </c>
      <c r="E396" s="5" t="inlineStr">
        <is>
          <t>2025-11-29</t>
        </is>
      </c>
      <c r="F396" s="5" t="n">
        <v>20</v>
      </c>
    </row>
    <row r="397">
      <c r="A397" s="5" t="inlineStr">
        <is>
          <t xml:space="preserve">  Webcam HD 1080p</t>
        </is>
      </c>
      <c r="B397" s="5" t="n">
        <v>25</v>
      </c>
      <c r="C397" s="5" t="n">
        <v>95</v>
      </c>
      <c r="D397" s="5" t="inlineStr">
        <is>
          <t>Paris</t>
        </is>
      </c>
      <c r="E397" s="5" t="inlineStr">
        <is>
          <t>2026-01-29</t>
        </is>
      </c>
      <c r="F397" s="5" t="n">
        <v>27</v>
      </c>
    </row>
    <row r="398">
      <c r="A398" s="5" t="inlineStr">
        <is>
          <t>casque audio pro</t>
        </is>
      </c>
      <c r="B398" s="5" t="n">
        <v>44</v>
      </c>
      <c r="C398" s="5" t="n">
        <v>145</v>
      </c>
      <c r="D398" s="5" t="inlineStr">
        <is>
          <t>Bordeaux</t>
        </is>
      </c>
      <c r="E398" s="5" t="inlineStr">
        <is>
          <t>2026-02-03</t>
        </is>
      </c>
      <c r="F398" s="5" t="n">
        <v>47</v>
      </c>
    </row>
    <row r="399">
      <c r="A399" s="5" t="inlineStr">
        <is>
          <t>IMPRIMANTE LASER</t>
        </is>
      </c>
      <c r="B399" s="5" t="n">
        <v>56</v>
      </c>
      <c r="C399" s="5" t="n">
        <v>126</v>
      </c>
      <c r="D399" s="5" t="inlineStr">
        <is>
          <t>Marseille</t>
        </is>
      </c>
      <c r="E399" s="5" t="inlineStr">
        <is>
          <t>2026-01-06</t>
        </is>
      </c>
      <c r="F399" s="5" t="n">
        <v>47</v>
      </c>
    </row>
    <row r="400">
      <c r="A400" s="5" t="inlineStr">
        <is>
          <t>Scanner Pro A4</t>
        </is>
      </c>
      <c r="B400" s="5" t="n">
        <v>71</v>
      </c>
      <c r="C400" s="5" t="n">
        <v>114</v>
      </c>
      <c r="D400" s="5" t="inlineStr">
        <is>
          <t>Paris</t>
        </is>
      </c>
      <c r="E400" s="5" t="inlineStr">
        <is>
          <t>2026-02-02</t>
        </is>
      </c>
      <c r="F400" s="5" t="n">
        <v>49</v>
      </c>
    </row>
    <row r="401">
      <c r="A401" s="5" t="inlineStr">
        <is>
          <t xml:space="preserve">  Tablette Graphique</t>
        </is>
      </c>
      <c r="B401" s="5" t="n">
        <v>191</v>
      </c>
      <c r="C401" s="5" t="n">
        <v>148</v>
      </c>
      <c r="D401" s="5" t="inlineStr">
        <is>
          <t>Lyon</t>
        </is>
      </c>
      <c r="E401" s="5" t="inlineStr">
        <is>
          <t>2025-11-30</t>
        </is>
      </c>
      <c r="F401" s="5" t="n">
        <v>21</v>
      </c>
    </row>
    <row r="402">
      <c r="A402" s="5" t="inlineStr">
        <is>
          <t>disque ssd 1to</t>
        </is>
      </c>
      <c r="B402" s="5" t="n">
        <v>19</v>
      </c>
      <c r="C402" s="5" t="n">
        <v>98</v>
      </c>
      <c r="D402" s="5" t="inlineStr">
        <is>
          <t>Lille</t>
        </is>
      </c>
      <c r="E402" s="5" t="inlineStr">
        <is>
          <t>2026-01-02</t>
        </is>
      </c>
      <c r="F402" s="5" t="n">
        <v>11</v>
      </c>
    </row>
    <row r="403">
      <c r="A403" s="5" t="inlineStr">
        <is>
          <t>ROUTEUR WIFI 6</t>
        </is>
      </c>
      <c r="B403" s="5" t="n">
        <v>59</v>
      </c>
      <c r="C403" s="5" t="n">
        <v>268</v>
      </c>
      <c r="D403" s="5" t="inlineStr">
        <is>
          <t>Paris</t>
        </is>
      </c>
      <c r="E403" s="5" t="inlineStr">
        <is>
          <t>2026-01-06</t>
        </is>
      </c>
      <c r="F403" s="5" t="n">
        <v>30</v>
      </c>
    </row>
    <row r="404">
      <c r="A404" s="5" t="inlineStr">
        <is>
          <t>Switch 24 ports</t>
        </is>
      </c>
      <c r="B404" s="5" t="n">
        <v>162</v>
      </c>
      <c r="C404" s="5" t="n">
        <v>86</v>
      </c>
      <c r="D404" s="5" t="inlineStr">
        <is>
          <t>Lille</t>
        </is>
      </c>
      <c r="E404" s="5" t="inlineStr">
        <is>
          <t>2026-01-14</t>
        </is>
      </c>
      <c r="F404" s="5" t="n">
        <v>33</v>
      </c>
    </row>
    <row r="405">
      <c r="A405" s="5" t="inlineStr">
        <is>
          <t xml:space="preserve">  Laptop HP ProBook</t>
        </is>
      </c>
      <c r="B405" s="5" t="n">
        <v>139</v>
      </c>
      <c r="C405" s="5" t="n">
        <v>256</v>
      </c>
      <c r="D405" s="5" t="inlineStr">
        <is>
          <t>Bordeaux</t>
        </is>
      </c>
      <c r="E405" s="5" t="inlineStr">
        <is>
          <t>2026-01-14</t>
        </is>
      </c>
      <c r="F405" s="5" t="n">
        <v>38</v>
      </c>
    </row>
    <row r="406">
      <c r="A406" s="5" t="inlineStr">
        <is>
          <t>écran dell 24"</t>
        </is>
      </c>
      <c r="B406" s="5" t="n">
        <v>134</v>
      </c>
      <c r="C406" s="5" t="n">
        <v>223</v>
      </c>
      <c r="D406" s="5" t="inlineStr">
        <is>
          <t>Marseille</t>
        </is>
      </c>
      <c r="E406" s="5" t="inlineStr">
        <is>
          <t>2026-02-20</t>
        </is>
      </c>
      <c r="F406" s="5" t="n">
        <v>22</v>
      </c>
    </row>
    <row r="407">
      <c r="A407" s="5" t="inlineStr">
        <is>
          <t>SOURIS LOGITECH MX</t>
        </is>
      </c>
      <c r="B407" s="5" t="n">
        <v>101</v>
      </c>
      <c r="C407" s="5" t="n">
        <v>32</v>
      </c>
      <c r="D407" s="5" t="inlineStr">
        <is>
          <t>Paris</t>
        </is>
      </c>
      <c r="E407" s="5" t="inlineStr">
        <is>
          <t>2025-11-29</t>
        </is>
      </c>
      <c r="F407" s="5" t="n">
        <v>13</v>
      </c>
    </row>
    <row r="408">
      <c r="A408" s="5" t="inlineStr">
        <is>
          <t>Clavier Mécanique RGB</t>
        </is>
      </c>
      <c r="B408" s="5" t="n">
        <v>60</v>
      </c>
      <c r="C408" s="5" t="n">
        <v>86</v>
      </c>
      <c r="D408" s="5" t="inlineStr">
        <is>
          <t>Lyon</t>
        </is>
      </c>
      <c r="E408" s="5" t="inlineStr">
        <is>
          <t>2026-02-20</t>
        </is>
      </c>
      <c r="F408" s="5" t="n">
        <v>48</v>
      </c>
    </row>
    <row r="409">
      <c r="A409" s="5" t="inlineStr">
        <is>
          <t xml:space="preserve">  Webcam HD 1080p</t>
        </is>
      </c>
      <c r="B409" s="5" t="n">
        <v>132</v>
      </c>
      <c r="C409" s="5" t="n">
        <v>45</v>
      </c>
      <c r="D409" s="5" t="inlineStr">
        <is>
          <t>Bordeaux</t>
        </is>
      </c>
      <c r="E409" s="5" t="inlineStr">
        <is>
          <t>2025-12-17</t>
        </is>
      </c>
      <c r="F409" s="5" t="n">
        <v>15</v>
      </c>
    </row>
    <row r="410">
      <c r="A410" s="5" t="inlineStr">
        <is>
          <t>casque audio pro</t>
        </is>
      </c>
      <c r="B410" s="5" t="n">
        <v>197</v>
      </c>
      <c r="C410" s="5" t="n">
        <v>157</v>
      </c>
      <c r="D410" s="5" t="inlineStr">
        <is>
          <t>Marseille</t>
        </is>
      </c>
      <c r="E410" s="5" t="inlineStr">
        <is>
          <t>2025-12-31</t>
        </is>
      </c>
      <c r="F410" s="5" t="n">
        <v>13</v>
      </c>
    </row>
    <row r="411">
      <c r="A411" s="5" t="inlineStr">
        <is>
          <t>IMPRIMANTE LASER</t>
        </is>
      </c>
      <c r="B411" s="5" t="n">
        <v>184</v>
      </c>
      <c r="C411" s="5" t="n">
        <v>162</v>
      </c>
      <c r="D411" s="5" t="inlineStr">
        <is>
          <t>Marseille</t>
        </is>
      </c>
      <c r="E411" s="5" t="inlineStr">
        <is>
          <t>2026-02-12</t>
        </is>
      </c>
      <c r="F411" s="5" t="n">
        <v>16</v>
      </c>
    </row>
    <row r="412">
      <c r="A412" s="5" t="inlineStr">
        <is>
          <t>Scanner Pro A4</t>
        </is>
      </c>
      <c r="B412" s="5" t="n">
        <v>188</v>
      </c>
      <c r="C412" s="5" t="n">
        <v>129</v>
      </c>
      <c r="D412" s="5" t="inlineStr">
        <is>
          <t>Marseille</t>
        </is>
      </c>
      <c r="E412" s="5" t="inlineStr">
        <is>
          <t>2026-02-17</t>
        </is>
      </c>
      <c r="F412" s="5" t="n">
        <v>28</v>
      </c>
    </row>
    <row r="413">
      <c r="A413" s="5" t="inlineStr">
        <is>
          <t xml:space="preserve">  Tablette Graphique</t>
        </is>
      </c>
      <c r="B413" s="5" t="n">
        <v>111</v>
      </c>
      <c r="C413" s="5" t="n">
        <v>173</v>
      </c>
      <c r="D413" s="5" t="inlineStr">
        <is>
          <t>Marseille</t>
        </is>
      </c>
      <c r="E413" s="5" t="inlineStr">
        <is>
          <t>2026-02-01</t>
        </is>
      </c>
      <c r="F413" s="5" t="n">
        <v>50</v>
      </c>
    </row>
    <row r="414">
      <c r="A414" s="5" t="inlineStr">
        <is>
          <t>disque ssd 1to</t>
        </is>
      </c>
      <c r="B414" s="5" t="n">
        <v>107</v>
      </c>
      <c r="C414" s="5" t="n">
        <v>173</v>
      </c>
      <c r="D414" s="5" t="inlineStr">
        <is>
          <t>Paris</t>
        </is>
      </c>
      <c r="E414" s="5" t="inlineStr">
        <is>
          <t>2025-12-10</t>
        </is>
      </c>
      <c r="F414" s="5" t="n">
        <v>38</v>
      </c>
    </row>
    <row r="415">
      <c r="A415" s="5" t="inlineStr">
        <is>
          <t>ROUTEUR WIFI 6</t>
        </is>
      </c>
      <c r="B415" s="5" t="n">
        <v>56</v>
      </c>
      <c r="C415" s="5" t="n">
        <v>266</v>
      </c>
      <c r="D415" s="5" t="inlineStr">
        <is>
          <t>Lille</t>
        </is>
      </c>
      <c r="E415" s="5" t="inlineStr">
        <is>
          <t>2026-01-11</t>
        </is>
      </c>
      <c r="F415" s="5" t="n">
        <v>25</v>
      </c>
    </row>
    <row r="416">
      <c r="A416" s="5" t="inlineStr">
        <is>
          <t>Switch 24 ports</t>
        </is>
      </c>
      <c r="B416" s="5" t="n">
        <v>95</v>
      </c>
      <c r="C416" s="5" t="n">
        <v>288</v>
      </c>
      <c r="D416" s="5" t="inlineStr">
        <is>
          <t>Bordeaux</t>
        </is>
      </c>
      <c r="E416" s="5" t="inlineStr">
        <is>
          <t>2026-01-16</t>
        </is>
      </c>
      <c r="F416" s="5" t="n">
        <v>10</v>
      </c>
    </row>
    <row r="417">
      <c r="A417" s="5" t="inlineStr">
        <is>
          <t xml:space="preserve">  Laptop HP ProBook</t>
        </is>
      </c>
      <c r="B417" s="5" t="n">
        <v>127</v>
      </c>
      <c r="C417" s="5" t="n">
        <v>171</v>
      </c>
      <c r="D417" s="5" t="inlineStr">
        <is>
          <t>Marseille</t>
        </is>
      </c>
      <c r="E417" s="5" t="inlineStr">
        <is>
          <t>2025-12-03</t>
        </is>
      </c>
      <c r="F417" s="5" t="n">
        <v>43</v>
      </c>
    </row>
    <row r="418">
      <c r="A418" s="5" t="inlineStr">
        <is>
          <t>écran dell 24"</t>
        </is>
      </c>
      <c r="B418" s="5" t="n">
        <v>157</v>
      </c>
      <c r="C418" s="5" t="n">
        <v>210</v>
      </c>
      <c r="D418" s="5" t="inlineStr">
        <is>
          <t>Lyon</t>
        </is>
      </c>
      <c r="E418" s="5" t="inlineStr">
        <is>
          <t>2026-01-04</t>
        </is>
      </c>
      <c r="F418" s="5" t="n">
        <v>50</v>
      </c>
    </row>
    <row r="419">
      <c r="A419" s="5" t="inlineStr">
        <is>
          <t>SOURIS LOGITECH MX</t>
        </is>
      </c>
      <c r="B419" s="5" t="n">
        <v>138</v>
      </c>
      <c r="C419" s="5" t="n">
        <v>132</v>
      </c>
      <c r="D419" s="5" t="inlineStr">
        <is>
          <t>Lyon</t>
        </is>
      </c>
      <c r="E419" s="5" t="inlineStr">
        <is>
          <t>2026-02-07</t>
        </is>
      </c>
      <c r="F419" s="5" t="n">
        <v>36</v>
      </c>
    </row>
    <row r="420">
      <c r="A420" s="5" t="inlineStr">
        <is>
          <t>Clavier Mécanique RGB</t>
        </is>
      </c>
      <c r="B420" s="5" t="n">
        <v>101</v>
      </c>
      <c r="C420" s="5" t="n">
        <v>106</v>
      </c>
      <c r="D420" s="5" t="inlineStr">
        <is>
          <t>Lille</t>
        </is>
      </c>
      <c r="E420" s="5" t="inlineStr">
        <is>
          <t>2025-12-13</t>
        </is>
      </c>
      <c r="F420" s="5" t="n">
        <v>20</v>
      </c>
    </row>
    <row r="421">
      <c r="A421" s="5" t="inlineStr">
        <is>
          <t xml:space="preserve">  Webcam HD 1080p</t>
        </is>
      </c>
      <c r="B421" s="5" t="n">
        <v>115</v>
      </c>
      <c r="C421" s="5" t="n">
        <v>37</v>
      </c>
      <c r="D421" s="5" t="inlineStr">
        <is>
          <t>Lille</t>
        </is>
      </c>
      <c r="E421" s="5" t="inlineStr">
        <is>
          <t>2025-12-25</t>
        </is>
      </c>
      <c r="F421" s="5" t="n">
        <v>26</v>
      </c>
    </row>
    <row r="422">
      <c r="A422" s="5" t="inlineStr">
        <is>
          <t>casque audio pro</t>
        </is>
      </c>
      <c r="B422" s="5" t="n">
        <v>134</v>
      </c>
      <c r="C422" s="5" t="n">
        <v>253</v>
      </c>
      <c r="D422" s="5" t="inlineStr">
        <is>
          <t>Paris</t>
        </is>
      </c>
      <c r="E422" s="5" t="inlineStr">
        <is>
          <t>2026-02-18</t>
        </is>
      </c>
      <c r="F422" s="5" t="n">
        <v>49</v>
      </c>
    </row>
    <row r="423">
      <c r="A423" s="5" t="inlineStr">
        <is>
          <t>IMPRIMANTE LASER</t>
        </is>
      </c>
      <c r="B423" s="5" t="n">
        <v>92</v>
      </c>
      <c r="C423" s="5" t="n">
        <v>43</v>
      </c>
      <c r="D423" s="5" t="inlineStr">
        <is>
          <t>Bordeaux</t>
        </is>
      </c>
      <c r="E423" s="5" t="inlineStr">
        <is>
          <t>2025-11-29</t>
        </is>
      </c>
      <c r="F423" s="5" t="n">
        <v>43</v>
      </c>
    </row>
    <row r="424">
      <c r="A424" s="5" t="inlineStr">
        <is>
          <t>Scanner Pro A4</t>
        </is>
      </c>
      <c r="B424" s="5" t="n">
        <v>79</v>
      </c>
      <c r="C424" s="5" t="n">
        <v>81</v>
      </c>
      <c r="D424" s="5" t="inlineStr">
        <is>
          <t>Marseille</t>
        </is>
      </c>
      <c r="E424" s="5" t="inlineStr">
        <is>
          <t>2026-02-17</t>
        </is>
      </c>
      <c r="F424" s="5" t="n">
        <v>23</v>
      </c>
    </row>
    <row r="425">
      <c r="A425" s="5" t="inlineStr">
        <is>
          <t xml:space="preserve">  Tablette Graphique</t>
        </is>
      </c>
      <c r="B425" s="5" t="n">
        <v>3</v>
      </c>
      <c r="C425" s="5" t="n">
        <v>39</v>
      </c>
      <c r="D425" s="5" t="inlineStr">
        <is>
          <t>Lille</t>
        </is>
      </c>
      <c r="E425" s="5" t="inlineStr">
        <is>
          <t>2026-02-18</t>
        </is>
      </c>
      <c r="F425" s="5" t="n">
        <v>30</v>
      </c>
    </row>
    <row r="426">
      <c r="A426" s="5" t="inlineStr">
        <is>
          <t>disque ssd 1to</t>
        </is>
      </c>
      <c r="B426" s="5" t="n">
        <v>180</v>
      </c>
      <c r="C426" s="5" t="n">
        <v>111</v>
      </c>
      <c r="D426" s="5" t="inlineStr">
        <is>
          <t>Marseille</t>
        </is>
      </c>
      <c r="E426" s="5" t="inlineStr">
        <is>
          <t>2026-02-06</t>
        </is>
      </c>
      <c r="F426" s="5" t="n">
        <v>41</v>
      </c>
    </row>
    <row r="427">
      <c r="A427" s="5" t="inlineStr">
        <is>
          <t>ROUTEUR WIFI 6</t>
        </is>
      </c>
      <c r="B427" s="5" t="n">
        <v>177</v>
      </c>
      <c r="C427" s="5" t="n">
        <v>27</v>
      </c>
      <c r="D427" s="5" t="inlineStr">
        <is>
          <t>Marseille</t>
        </is>
      </c>
      <c r="E427" s="5" t="inlineStr">
        <is>
          <t>2026-01-12</t>
        </is>
      </c>
      <c r="F427" s="5" t="n">
        <v>42</v>
      </c>
    </row>
    <row r="428">
      <c r="A428" s="5" t="inlineStr">
        <is>
          <t>Switch 24 ports</t>
        </is>
      </c>
      <c r="B428" s="5" t="n">
        <v>69</v>
      </c>
      <c r="C428" s="5" t="n">
        <v>104</v>
      </c>
      <c r="D428" s="5" t="inlineStr">
        <is>
          <t>Lyon</t>
        </is>
      </c>
      <c r="E428" s="5" t="inlineStr">
        <is>
          <t>2026-01-21</t>
        </is>
      </c>
      <c r="F428" s="5" t="n">
        <v>20</v>
      </c>
    </row>
    <row r="429">
      <c r="A429" s="5" t="inlineStr">
        <is>
          <t xml:space="preserve">  Laptop HP ProBook</t>
        </is>
      </c>
      <c r="B429" s="5" t="n">
        <v>114</v>
      </c>
      <c r="C429" s="5" t="n">
        <v>59</v>
      </c>
      <c r="D429" s="5" t="inlineStr">
        <is>
          <t>Marseille</t>
        </is>
      </c>
      <c r="E429" s="5" t="inlineStr">
        <is>
          <t>2026-01-07</t>
        </is>
      </c>
      <c r="F429" s="5" t="n">
        <v>27</v>
      </c>
    </row>
    <row r="430">
      <c r="A430" s="5" t="inlineStr">
        <is>
          <t>écran dell 24"</t>
        </is>
      </c>
      <c r="B430" s="5" t="n">
        <v>116</v>
      </c>
      <c r="C430" s="5" t="n">
        <v>169</v>
      </c>
      <c r="D430" s="5" t="inlineStr">
        <is>
          <t>Lyon</t>
        </is>
      </c>
      <c r="E430" s="5" t="inlineStr">
        <is>
          <t>2026-01-25</t>
        </is>
      </c>
      <c r="F430" s="5" t="n">
        <v>34</v>
      </c>
    </row>
    <row r="431">
      <c r="A431" s="5" t="inlineStr">
        <is>
          <t>SOURIS LOGITECH MX</t>
        </is>
      </c>
      <c r="B431" s="5" t="n">
        <v>125</v>
      </c>
      <c r="C431" s="5" t="n">
        <v>63</v>
      </c>
      <c r="D431" s="5" t="inlineStr">
        <is>
          <t>Lyon</t>
        </is>
      </c>
      <c r="E431" s="5" t="inlineStr">
        <is>
          <t>2026-01-22</t>
        </is>
      </c>
      <c r="F431" s="5" t="n">
        <v>50</v>
      </c>
    </row>
    <row r="432">
      <c r="A432" s="5" t="inlineStr">
        <is>
          <t>Clavier Mécanique RGB</t>
        </is>
      </c>
      <c r="B432" s="5" t="n">
        <v>114</v>
      </c>
      <c r="C432" s="5" t="n">
        <v>81</v>
      </c>
      <c r="D432" s="5" t="inlineStr">
        <is>
          <t>Lille</t>
        </is>
      </c>
      <c r="E432" s="5" t="inlineStr">
        <is>
          <t>2026-01-24</t>
        </is>
      </c>
      <c r="F432" s="5" t="n">
        <v>22</v>
      </c>
    </row>
    <row r="433">
      <c r="A433" s="5" t="inlineStr">
        <is>
          <t xml:space="preserve">  Webcam HD 1080p</t>
        </is>
      </c>
      <c r="B433" s="5" t="n">
        <v>171</v>
      </c>
      <c r="C433" s="5" t="n">
        <v>91</v>
      </c>
      <c r="D433" s="5" t="inlineStr">
        <is>
          <t>Paris</t>
        </is>
      </c>
      <c r="E433" s="5" t="inlineStr">
        <is>
          <t>2026-02-21</t>
        </is>
      </c>
      <c r="F433" s="5" t="n">
        <v>36</v>
      </c>
    </row>
    <row r="434">
      <c r="A434" s="5" t="inlineStr">
        <is>
          <t>casque audio pro</t>
        </is>
      </c>
      <c r="B434" s="5" t="n">
        <v>81</v>
      </c>
      <c r="C434" s="5" t="n">
        <v>178</v>
      </c>
      <c r="D434" s="5" t="inlineStr">
        <is>
          <t>Bordeaux</t>
        </is>
      </c>
      <c r="E434" s="5" t="inlineStr">
        <is>
          <t>2026-01-07</t>
        </is>
      </c>
      <c r="F434" s="5" t="n">
        <v>35</v>
      </c>
    </row>
    <row r="435">
      <c r="A435" s="5" t="inlineStr">
        <is>
          <t>IMPRIMANTE LASER</t>
        </is>
      </c>
      <c r="B435" s="5" t="n">
        <v>52</v>
      </c>
      <c r="C435" s="5" t="n">
        <v>244</v>
      </c>
      <c r="D435" s="5" t="inlineStr">
        <is>
          <t>Lyon</t>
        </is>
      </c>
      <c r="E435" s="5" t="inlineStr">
        <is>
          <t>2026-02-08</t>
        </is>
      </c>
      <c r="F435" s="5" t="n">
        <v>10</v>
      </c>
    </row>
    <row r="436">
      <c r="A436" s="5" t="inlineStr">
        <is>
          <t>Scanner Pro A4</t>
        </is>
      </c>
      <c r="B436" s="5" t="n">
        <v>45</v>
      </c>
      <c r="C436" s="5" t="n">
        <v>274</v>
      </c>
      <c r="D436" s="5" t="inlineStr">
        <is>
          <t>Lille</t>
        </is>
      </c>
      <c r="E436" s="5" t="inlineStr">
        <is>
          <t>2025-12-05</t>
        </is>
      </c>
      <c r="F436" s="5" t="n">
        <v>31</v>
      </c>
    </row>
    <row r="437">
      <c r="A437" s="5" t="inlineStr">
        <is>
          <t xml:space="preserve">  Tablette Graphique</t>
        </is>
      </c>
      <c r="B437" s="5" t="n">
        <v>25</v>
      </c>
      <c r="C437" s="5" t="n">
        <v>260</v>
      </c>
      <c r="D437" s="5" t="inlineStr">
        <is>
          <t>Marseille</t>
        </is>
      </c>
      <c r="E437" s="5" t="inlineStr">
        <is>
          <t>2026-01-30</t>
        </is>
      </c>
      <c r="F437" s="5" t="n">
        <v>32</v>
      </c>
    </row>
    <row r="438">
      <c r="A438" s="5" t="inlineStr">
        <is>
          <t>disque ssd 1to</t>
        </is>
      </c>
      <c r="B438" s="5" t="n">
        <v>3</v>
      </c>
      <c r="C438" s="5" t="n">
        <v>221</v>
      </c>
      <c r="D438" s="5" t="inlineStr">
        <is>
          <t>Lyon</t>
        </is>
      </c>
      <c r="E438" s="5" t="inlineStr">
        <is>
          <t>2026-01-30</t>
        </is>
      </c>
      <c r="F438" s="5" t="n">
        <v>26</v>
      </c>
    </row>
    <row r="439">
      <c r="A439" s="5" t="inlineStr">
        <is>
          <t>ROUTEUR WIFI 6</t>
        </is>
      </c>
      <c r="B439" s="5" t="n">
        <v>102</v>
      </c>
      <c r="C439" s="5" t="n">
        <v>225</v>
      </c>
      <c r="D439" s="5" t="inlineStr">
        <is>
          <t>Lyon</t>
        </is>
      </c>
      <c r="E439" s="5" t="inlineStr">
        <is>
          <t>2026-01-03</t>
        </is>
      </c>
      <c r="F439" s="5" t="n">
        <v>49</v>
      </c>
    </row>
    <row r="440">
      <c r="A440" s="5" t="inlineStr">
        <is>
          <t>Switch 24 ports</t>
        </is>
      </c>
      <c r="B440" s="5" t="n">
        <v>92</v>
      </c>
      <c r="C440" s="5" t="n">
        <v>135</v>
      </c>
      <c r="D440" s="5" t="inlineStr">
        <is>
          <t>Paris</t>
        </is>
      </c>
      <c r="E440" s="5" t="inlineStr">
        <is>
          <t>2026-02-04</t>
        </is>
      </c>
      <c r="F440" s="5" t="n">
        <v>49</v>
      </c>
    </row>
    <row r="441">
      <c r="A441" s="5" t="inlineStr">
        <is>
          <t xml:space="preserve">  Laptop HP ProBook</t>
        </is>
      </c>
      <c r="B441" s="5" t="n">
        <v>158</v>
      </c>
      <c r="C441" s="5" t="n">
        <v>30</v>
      </c>
      <c r="D441" s="5" t="inlineStr">
        <is>
          <t>Lyon</t>
        </is>
      </c>
      <c r="E441" s="5" t="inlineStr">
        <is>
          <t>2026-02-21</t>
        </is>
      </c>
      <c r="F441" s="5" t="n">
        <v>24</v>
      </c>
    </row>
    <row r="442">
      <c r="A442" s="5" t="inlineStr">
        <is>
          <t>écran dell 24"</t>
        </is>
      </c>
      <c r="B442" s="5" t="n">
        <v>136</v>
      </c>
      <c r="C442" s="5" t="n">
        <v>94</v>
      </c>
      <c r="D442" s="5" t="inlineStr">
        <is>
          <t>Lille</t>
        </is>
      </c>
      <c r="E442" s="5" t="inlineStr">
        <is>
          <t>2026-02-10</t>
        </is>
      </c>
      <c r="F442" s="5" t="n">
        <v>12</v>
      </c>
    </row>
    <row r="443">
      <c r="A443" s="5" t="inlineStr">
        <is>
          <t>SOURIS LOGITECH MX</t>
        </is>
      </c>
      <c r="B443" s="5" t="n">
        <v>152</v>
      </c>
      <c r="C443" s="5" t="n">
        <v>242</v>
      </c>
      <c r="D443" s="5" t="inlineStr">
        <is>
          <t>Lille</t>
        </is>
      </c>
      <c r="E443" s="5" t="inlineStr">
        <is>
          <t>2026-02-11</t>
        </is>
      </c>
      <c r="F443" s="5" t="n">
        <v>21</v>
      </c>
    </row>
    <row r="444">
      <c r="A444" s="5" t="inlineStr">
        <is>
          <t>Clavier Mécanique RGB</t>
        </is>
      </c>
      <c r="B444" s="5" t="n">
        <v>52</v>
      </c>
      <c r="C444" s="5" t="n">
        <v>54</v>
      </c>
      <c r="D444" s="5" t="inlineStr">
        <is>
          <t>Paris</t>
        </is>
      </c>
      <c r="E444" s="5" t="inlineStr">
        <is>
          <t>2025-12-19</t>
        </is>
      </c>
      <c r="F444" s="5" t="n">
        <v>29</v>
      </c>
    </row>
    <row r="445">
      <c r="A445" s="5" t="inlineStr">
        <is>
          <t xml:space="preserve">  Webcam HD 1080p</t>
        </is>
      </c>
      <c r="B445" s="5" t="n">
        <v>70</v>
      </c>
      <c r="C445" s="5" t="n">
        <v>187</v>
      </c>
      <c r="D445" s="5" t="inlineStr">
        <is>
          <t>Lille</t>
        </is>
      </c>
      <c r="E445" s="5" t="inlineStr">
        <is>
          <t>2025-12-05</t>
        </is>
      </c>
      <c r="F445" s="5" t="n">
        <v>20</v>
      </c>
    </row>
    <row r="446">
      <c r="A446" s="5" t="inlineStr">
        <is>
          <t>casque audio pro</t>
        </is>
      </c>
      <c r="B446" s="5" t="n">
        <v>0</v>
      </c>
      <c r="C446" s="5" t="n">
        <v>91</v>
      </c>
      <c r="D446" s="5" t="inlineStr">
        <is>
          <t>Lille</t>
        </is>
      </c>
      <c r="E446" s="5" t="inlineStr">
        <is>
          <t>2026-01-25</t>
        </is>
      </c>
      <c r="F446" s="5" t="n">
        <v>13</v>
      </c>
    </row>
    <row r="447">
      <c r="A447" s="5" t="inlineStr">
        <is>
          <t>IMPRIMANTE LASER</t>
        </is>
      </c>
      <c r="B447" s="5" t="n">
        <v>37</v>
      </c>
      <c r="C447" s="5" t="n">
        <v>283</v>
      </c>
      <c r="D447" s="5" t="inlineStr">
        <is>
          <t>Bordeaux</t>
        </is>
      </c>
      <c r="E447" s="5" t="inlineStr">
        <is>
          <t>2026-01-07</t>
        </is>
      </c>
      <c r="F447" s="5" t="n">
        <v>16</v>
      </c>
    </row>
    <row r="448">
      <c r="A448" s="5" t="inlineStr">
        <is>
          <t>Scanner Pro A4</t>
        </is>
      </c>
      <c r="B448" s="5" t="n">
        <v>50</v>
      </c>
      <c r="C448" s="5" t="n">
        <v>280</v>
      </c>
      <c r="D448" s="5" t="inlineStr">
        <is>
          <t>Marseille</t>
        </is>
      </c>
      <c r="E448" s="5" t="inlineStr">
        <is>
          <t>2026-01-13</t>
        </is>
      </c>
      <c r="F448" s="5" t="n">
        <v>49</v>
      </c>
    </row>
    <row r="449">
      <c r="A449" s="5" t="inlineStr">
        <is>
          <t xml:space="preserve">  Tablette Graphique</t>
        </is>
      </c>
      <c r="B449" s="5" t="n">
        <v>158</v>
      </c>
      <c r="C449" s="5" t="n">
        <v>124</v>
      </c>
      <c r="D449" s="5" t="inlineStr">
        <is>
          <t>Bordeaux</t>
        </is>
      </c>
      <c r="E449" s="5" t="inlineStr">
        <is>
          <t>2026-01-07</t>
        </is>
      </c>
      <c r="F449" s="5" t="n">
        <v>40</v>
      </c>
    </row>
    <row r="450">
      <c r="A450" s="5" t="inlineStr">
        <is>
          <t>disque ssd 1to</t>
        </is>
      </c>
      <c r="B450" s="5" t="n">
        <v>162</v>
      </c>
      <c r="C450" s="5" t="n">
        <v>133</v>
      </c>
      <c r="D450" s="5" t="inlineStr">
        <is>
          <t>Paris</t>
        </is>
      </c>
      <c r="E450" s="5" t="inlineStr">
        <is>
          <t>2026-01-24</t>
        </is>
      </c>
      <c r="F450" s="5" t="n">
        <v>13</v>
      </c>
    </row>
    <row r="451">
      <c r="A451" s="5" t="inlineStr">
        <is>
          <t>ROUTEUR WIFI 6</t>
        </is>
      </c>
      <c r="B451" s="5" t="n">
        <v>135</v>
      </c>
      <c r="C451" s="5" t="n">
        <v>128</v>
      </c>
      <c r="D451" s="5" t="inlineStr">
        <is>
          <t>Lille</t>
        </is>
      </c>
      <c r="E451" s="5" t="inlineStr">
        <is>
          <t>2026-01-31</t>
        </is>
      </c>
      <c r="F451" s="5" t="n">
        <v>28</v>
      </c>
    </row>
    <row r="452">
      <c r="A452" s="5" t="inlineStr">
        <is>
          <t>Switch 24 ports</t>
        </is>
      </c>
      <c r="B452" s="5" t="n">
        <v>68</v>
      </c>
      <c r="C452" s="5" t="n">
        <v>207</v>
      </c>
      <c r="D452" s="5" t="inlineStr">
        <is>
          <t>Lyon</t>
        </is>
      </c>
      <c r="E452" s="5" t="inlineStr">
        <is>
          <t>2025-12-26</t>
        </is>
      </c>
      <c r="F452" s="5" t="n">
        <v>30</v>
      </c>
    </row>
    <row r="455">
      <c r="A455" s="11" t="inlineStr">
        <is>
          <t>🏭 SOURCE 3 : MAPPING PRODUITS ↔ FOURNISSEURS</t>
        </is>
      </c>
    </row>
    <row r="456">
      <c r="A456" s="4" t="inlineStr">
        <is>
          <t>Produit</t>
        </is>
      </c>
      <c r="B456" s="4" t="inlineStr">
        <is>
          <t>ID_Fournisseur</t>
        </is>
      </c>
      <c r="C456" s="4" t="inlineStr">
        <is>
          <t>Nom_Fournisseur</t>
        </is>
      </c>
      <c r="D456" s="4" t="inlineStr">
        <is>
          <t>Delai_Livraison</t>
        </is>
      </c>
    </row>
    <row r="457">
      <c r="A457" s="5" t="inlineStr">
        <is>
          <t>LAPTOP HP PROBOOK</t>
        </is>
      </c>
      <c r="B457" s="5" t="inlineStr">
        <is>
          <t>FRS201</t>
        </is>
      </c>
      <c r="C457" s="5" t="inlineStr">
        <is>
          <t>TechSupply SA</t>
        </is>
      </c>
      <c r="D457" s="5" t="inlineStr">
        <is>
          <t>7 jours</t>
        </is>
      </c>
    </row>
    <row r="458">
      <c r="A458" s="5" t="inlineStr">
        <is>
          <t>Écran DELL 24"</t>
        </is>
      </c>
      <c r="B458" s="5" t="inlineStr">
        <is>
          <t>FRS201</t>
        </is>
      </c>
      <c r="C458" s="5" t="inlineStr">
        <is>
          <t>TechSupply SA</t>
        </is>
      </c>
      <c r="D458" s="5" t="inlineStr">
        <is>
          <t>10 jours</t>
        </is>
      </c>
    </row>
    <row r="459">
      <c r="A459" s="5" t="inlineStr">
        <is>
          <t>disque ssd 1to</t>
        </is>
      </c>
      <c r="B459" s="5" t="inlineStr">
        <is>
          <t>FRS201</t>
        </is>
      </c>
      <c r="C459" s="5" t="inlineStr">
        <is>
          <t>TechSupply SA</t>
        </is>
      </c>
      <c r="D459" s="5" t="inlineStr">
        <is>
          <t>13 jours</t>
        </is>
      </c>
    </row>
    <row r="460">
      <c r="A460" s="5" t="inlineStr">
        <is>
          <t>SOURIS LOGITECH MX</t>
        </is>
      </c>
      <c r="B460" s="5" t="inlineStr">
        <is>
          <t>FRS202</t>
        </is>
      </c>
      <c r="C460" s="5" t="inlineStr">
        <is>
          <t>DigitalWare Ltd</t>
        </is>
      </c>
      <c r="D460" s="5" t="n">
        <v>14</v>
      </c>
    </row>
    <row r="461">
      <c r="A461" s="5" t="inlineStr">
        <is>
          <t>Clavier Mécanique RGB</t>
        </is>
      </c>
      <c r="B461" s="5" t="inlineStr">
        <is>
          <t>FRS202</t>
        </is>
      </c>
      <c r="C461" s="5" t="inlineStr">
        <is>
          <t>DigitalWare Ltd</t>
        </is>
      </c>
      <c r="D461" s="5" t="inlineStr">
        <is>
          <t>6 jours</t>
        </is>
      </c>
    </row>
    <row r="462">
      <c r="A462" s="5" t="inlineStr">
        <is>
          <t>webcam hd 1080p</t>
        </is>
      </c>
      <c r="B462" s="5" t="inlineStr">
        <is>
          <t>FRS202</t>
        </is>
      </c>
      <c r="C462" s="5" t="inlineStr">
        <is>
          <t>DigitalWare Ltd</t>
        </is>
      </c>
      <c r="D462" s="5" t="inlineStr">
        <is>
          <t>2 jours</t>
        </is>
      </c>
    </row>
    <row r="463">
      <c r="A463" s="5" t="inlineStr">
        <is>
          <t>CASQUE AUDIO PRO</t>
        </is>
      </c>
      <c r="B463" s="5" t="inlineStr">
        <is>
          <t>FRS203</t>
        </is>
      </c>
      <c r="C463" s="5" t="inlineStr">
        <is>
          <t>Hardware Pro</t>
        </is>
      </c>
      <c r="D463" s="5" t="inlineStr">
        <is>
          <t>9 jours</t>
        </is>
      </c>
    </row>
    <row r="464">
      <c r="A464" s="5" t="inlineStr">
        <is>
          <t>Imprimante Laser</t>
        </is>
      </c>
      <c r="B464" s="5" t="inlineStr">
        <is>
          <t>FRS203</t>
        </is>
      </c>
      <c r="C464" s="5" t="inlineStr">
        <is>
          <t>Hardware Pro</t>
        </is>
      </c>
      <c r="D464" s="5" t="inlineStr">
        <is>
          <t>11 jours</t>
        </is>
      </c>
    </row>
    <row r="465">
      <c r="A465" s="5" t="inlineStr">
        <is>
          <t>scanner pro a4</t>
        </is>
      </c>
      <c r="B465" s="5" t="inlineStr">
        <is>
          <t>FRS203</t>
        </is>
      </c>
      <c r="C465" s="5" t="inlineStr">
        <is>
          <t>Hardware Pro</t>
        </is>
      </c>
      <c r="D465" s="5" t="n">
        <v>2</v>
      </c>
    </row>
    <row r="466">
      <c r="A466" s="5" t="inlineStr">
        <is>
          <t>TABLETTE GRAPHIQUE</t>
        </is>
      </c>
      <c r="B466" s="5" t="inlineStr">
        <is>
          <t>FRS204</t>
        </is>
      </c>
      <c r="C466" s="5" t="inlineStr">
        <is>
          <t>IT Solutions</t>
        </is>
      </c>
      <c r="D466" s="5" t="inlineStr">
        <is>
          <t>14 jours</t>
        </is>
      </c>
    </row>
    <row r="467">
      <c r="A467" s="5" t="inlineStr">
        <is>
          <t>Routeur WiFi 6</t>
        </is>
      </c>
      <c r="B467" s="5" t="inlineStr">
        <is>
          <t>FRS204</t>
        </is>
      </c>
      <c r="C467" s="5" t="inlineStr">
        <is>
          <t>IT Solutions</t>
        </is>
      </c>
      <c r="D467" s="5" t="inlineStr">
        <is>
          <t>12 jours</t>
        </is>
      </c>
    </row>
    <row r="468">
      <c r="A468" s="5" t="inlineStr">
        <is>
          <t>switch 24 ports</t>
        </is>
      </c>
      <c r="B468" s="5" t="inlineStr">
        <is>
          <t>FRS204</t>
        </is>
      </c>
      <c r="C468" s="5" t="inlineStr">
        <is>
          <t>IT Solutions</t>
        </is>
      </c>
      <c r="D468" s="5" t="inlineStr">
        <is>
          <t>14 jours</t>
        </is>
      </c>
    </row>
  </sheetData>
  <mergeCells count="13">
    <mergeCell ref="A12:H12"/>
    <mergeCell ref="A1:H1"/>
    <mergeCell ref="A7:H7"/>
    <mergeCell ref="A2:H2"/>
    <mergeCell ref="A10:H10"/>
    <mergeCell ref="A455:D455"/>
    <mergeCell ref="A13:H13"/>
    <mergeCell ref="A11:H11"/>
    <mergeCell ref="A14:H14"/>
    <mergeCell ref="A5:H5"/>
    <mergeCell ref="A271:F271"/>
    <mergeCell ref="A6:H6"/>
    <mergeCell ref="A17:H17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7" t="inlineStr">
        <is>
          <t>🔐 PHASE 1 : ANALYSE DES DONNÉES NETTOYÉES</t>
        </is>
      </c>
    </row>
    <row r="2">
      <c r="A2" s="8" t="inlineStr">
        <is>
          <t>⏱️ Durée : 15 min | 🎯 Points : 200</t>
        </is>
      </c>
    </row>
    <row r="4">
      <c r="A4" s="12" t="inlineStr">
        <is>
          <t>⚠️ PRÉREQUIS : Vous devez avoir créé Table_Donnees_Propres en Phase 0</t>
        </is>
      </c>
    </row>
    <row r="6">
      <c r="A6" s="9" t="inlineStr">
        <is>
          <t>🎯 EXERCICES</t>
        </is>
      </c>
    </row>
    <row r="7">
      <c r="A7" t="inlineStr">
        <is>
          <t>Ex1 (50 pts) : Combien de commandes a passé le client 'Client_015' ?</t>
        </is>
      </c>
    </row>
    <row r="8">
      <c r="A8" s="13" t="inlineStr">
        <is>
          <t>Formule : =COUNTA(XLOOKUP("Client_015"; Table_Donnees_Propres[Contact]; Table_Donnees_Propres[ID_Commande]; ; 2))</t>
        </is>
      </c>
    </row>
    <row r="10">
      <c r="A10" t="inlineStr">
        <is>
          <t>Ex2 (75 pts) : Quels produits sont CRITIQUES ? (Stock &lt; 50 ET Demande &gt; 100)</t>
        </is>
      </c>
    </row>
    <row r="11">
      <c r="A11" s="13" t="inlineStr">
        <is>
          <t>Formule : =FILTER(Table_Donnees_Propres[Produit]; (Table_Donnees_Propres[Stock_Actuel]&lt;50)*(Table_Donnees_Propres[Demande_Prevue]&gt;100))</t>
        </is>
      </c>
    </row>
    <row r="13">
      <c r="A13" t="inlineStr">
        <is>
          <t>Ex3 (75 pts) : Liste unique des fournisseurs concernés par ces produits critiques</t>
        </is>
      </c>
    </row>
    <row r="14">
      <c r="A14" s="13" t="inlineStr">
        <is>
          <t>Formule : =UNIQUE(FILTER(Table_Donnees_Propres[ID_Fournisseur]; (Table_Donnees_Propres[Stock_Actuel]&lt;50)*(Table_Donnees_Propres[Demande_Prevue]&gt;100)))</t>
        </is>
      </c>
    </row>
    <row r="17">
      <c r="A17" s="14" t="inlineStr">
        <is>
          <t>💡 Zone de travail ci-dessous</t>
        </is>
      </c>
    </row>
  </sheetData>
  <mergeCells count="10">
    <mergeCell ref="A4:H4"/>
    <mergeCell ref="A7:H7"/>
    <mergeCell ref="A2:H2"/>
    <mergeCell ref="A10:H10"/>
    <mergeCell ref="A13:H13"/>
    <mergeCell ref="A11:H11"/>
    <mergeCell ref="A14:H14"/>
    <mergeCell ref="A1:H1"/>
    <mergeCell ref="A8:H8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📊 PHASE 2 : RESTRUCTURATION DES DONNÉES</t>
        </is>
      </c>
    </row>
    <row r="2">
      <c r="A2" s="8" t="inlineStr">
        <is>
          <t>⏱️ Durée : 15 min | 🎯 Points : 200</t>
        </is>
      </c>
    </row>
    <row r="4">
      <c r="A4" s="12" t="inlineStr">
        <is>
          <t>⚠️ PRÉREQUIS : Table_Donnees_Propres de Phase 0</t>
        </is>
      </c>
    </row>
    <row r="6">
      <c r="A6" s="9" t="inlineStr">
        <is>
          <t>🎯 EXERCICES</t>
        </is>
      </c>
    </row>
    <row r="7">
      <c r="A7" t="inlineStr">
        <is>
          <t>Ex1 (100 pts) : Créer un rapport avec colonnes : Produit, Quantite, Prix_Unitaire, Montant_Total, Contact, ID_Fournisseur, Stock_Actuel</t>
        </is>
      </c>
    </row>
    <row r="8">
      <c r="A8" s="13" t="inlineStr">
        <is>
          <t>Formule : =CHOOSECOLS(Table_Donnees_Propres; 3; 4; 5; 6; 7; 9; 10)</t>
        </is>
      </c>
    </row>
    <row r="10">
      <c r="A10" t="inlineStr">
        <is>
          <t>Ex2 (100 pts) : Calculer le CA total par ligne (Quantite × Prix_Unitaire) avec BYROW</t>
        </is>
      </c>
    </row>
    <row r="11">
      <c r="A11" s="13" t="inlineStr">
        <is>
          <t>Formule : =BYROW(CHOOSECOLS(Table_Donnees_Propres; 4; 5); LAMBDA(row; INDEX(row; 1) * INDEX(row; 2)))</t>
        </is>
      </c>
    </row>
    <row r="14">
      <c r="A14" s="14" t="inlineStr">
        <is>
          <t>💡 Zone de travail ci-dessous</t>
        </is>
      </c>
    </row>
  </sheetData>
  <mergeCells count="8">
    <mergeCell ref="A1:J1"/>
    <mergeCell ref="A8:J8"/>
    <mergeCell ref="A14:J14"/>
    <mergeCell ref="A4:J4"/>
    <mergeCell ref="A7:J7"/>
    <mergeCell ref="A2:J2"/>
    <mergeCell ref="A10:J10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7" t="inlineStr">
        <is>
          <t>📈 PHASE 3 : ANALYSE TEMPORELLE</t>
        </is>
      </c>
    </row>
    <row r="2">
      <c r="A2" s="8" t="inlineStr">
        <is>
          <t>⏱️ Durée : 15 min | 🎯 Points : 250</t>
        </is>
      </c>
    </row>
    <row r="4">
      <c r="A4" s="12" t="inlineStr">
        <is>
          <t>⚠️ PRÉREQUIS : Table_Donnees_Propres</t>
        </is>
      </c>
    </row>
    <row r="6">
      <c r="A6" s="9" t="inlineStr">
        <is>
          <t>🎯 EXERCICES</t>
        </is>
      </c>
    </row>
    <row r="7">
      <c r="A7" t="inlineStr">
        <is>
          <t>Ex1 (75 pts) : Analyser les 100 dernières commandes (les plus récentes)</t>
        </is>
      </c>
    </row>
    <row r="8">
      <c r="A8" s="13" t="inlineStr">
        <is>
          <t>Formule : =TAKE(Table_Donnees_Propres; -100)</t>
        </is>
      </c>
    </row>
    <row r="10">
      <c r="A10" t="inlineStr">
        <is>
          <t>Ex2 (75 pts) : Retirer les 30 premières commandes (données de test initiales)</t>
        </is>
      </c>
    </row>
    <row r="11">
      <c r="A11" s="13" t="inlineStr">
        <is>
          <t>Formule : =DROP(Table_Donnees_Propres; 30)</t>
        </is>
      </c>
    </row>
    <row r="13">
      <c r="A13" t="inlineStr">
        <is>
          <t>Ex3 (100 pts) : Simuler une augmentation tarifaire de 5% sur tous les prix</t>
        </is>
      </c>
    </row>
    <row r="14">
      <c r="A14" s="13" t="inlineStr">
        <is>
          <t>Formule : =MAP(Table_Donnees_Propres[Prix_Unitaire]; LAMBDA(x; x * 1;05))</t>
        </is>
      </c>
    </row>
    <row r="17">
      <c r="A17" s="13" t="inlineStr">
        <is>
          <t>💡 Astuce : Triez d'abord Table_Donnees_Propres par date si nécessaire</t>
        </is>
      </c>
    </row>
  </sheetData>
  <mergeCells count="4">
    <mergeCell ref="A2:F2"/>
    <mergeCell ref="A1:F1"/>
    <mergeCell ref="A4:F4"/>
    <mergeCell ref="A17:F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7" t="inlineStr">
        <is>
          <t>📦 PHASE 4 : CONSOLIDATION MULTI-SOURCES</t>
        </is>
      </c>
    </row>
    <row r="2">
      <c r="A2" s="8" t="inlineStr">
        <is>
          <t>⏱️ Durée : 15 min | 🎯 Points : 300</t>
        </is>
      </c>
    </row>
    <row r="4">
      <c r="A4" s="9" t="inlineStr">
        <is>
          <t>🎯 EXERCICES</t>
        </is>
      </c>
    </row>
    <row r="5">
      <c r="A5" t="inlineStr">
        <is>
          <t>Ex1 (100 pts) : Empiler verticalement les données Phase 0 avec les nouvelles commandes ci-dessous</t>
        </is>
      </c>
    </row>
    <row r="6">
      <c r="A6" s="13" t="inlineStr">
        <is>
          <t>Formule : =VSTACK(Table_Donnees_Propres; Table_Nouvelles_Commandes)</t>
        </is>
      </c>
    </row>
    <row r="8">
      <c r="A8" t="inlineStr">
        <is>
          <t>Ex2 (100 pts) : Enrichir avec info marges depuis Table_Marges_Produits</t>
        </is>
      </c>
    </row>
    <row r="9">
      <c r="A9" s="13" t="inlineStr">
        <is>
          <t>Formule : =HSTACK(Table_Donnees_Propres; XLOOKUP(Table_Donnees_Propres[Produit]; Table_Marges_Produits[Produit]; Table_Marges_Produits[Marge_Pct]))</t>
        </is>
      </c>
    </row>
    <row r="11">
      <c r="A11" t="inlineStr">
        <is>
          <t>Ex3 (100 pts) : Calculer le CA total par fournisseur</t>
        </is>
      </c>
    </row>
    <row r="12">
      <c r="A12" s="13" t="inlineStr">
        <is>
          <t>Formule : =GROUPBY(Table_Donnees_Propres[ID_Fournisseur]; Table_Donnees_Propres[Montant_Total]; SUM)</t>
        </is>
      </c>
    </row>
    <row r="15">
      <c r="A15" s="15" t="inlineStr">
        <is>
          <t>📊 NOUVELLES COMMANDES (à consolider)</t>
        </is>
      </c>
    </row>
    <row r="16">
      <c r="A16" s="16" t="inlineStr">
        <is>
          <t>ID_Commande</t>
        </is>
      </c>
      <c r="B16" s="16" t="inlineStr">
        <is>
          <t>Date_Cmd</t>
        </is>
      </c>
      <c r="C16" s="16" t="inlineStr">
        <is>
          <t>Produit</t>
        </is>
      </c>
      <c r="D16" s="16" t="inlineStr">
        <is>
          <t>Quantite</t>
        </is>
      </c>
      <c r="E16" s="16" t="inlineStr">
        <is>
          <t>Prix_Unitaire</t>
        </is>
      </c>
      <c r="F16" s="16" t="inlineStr">
        <is>
          <t>Montant_Total</t>
        </is>
      </c>
      <c r="G16" s="16" t="inlineStr">
        <is>
          <t>Contact</t>
        </is>
      </c>
      <c r="H16" s="16" t="inlineStr">
        <is>
          <t>Statut</t>
        </is>
      </c>
      <c r="I16" s="16" t="inlineStr">
        <is>
          <t>ID_Fournisseur</t>
        </is>
      </c>
      <c r="J16" s="16" t="inlineStr">
        <is>
          <t>Stock_Actuel</t>
        </is>
      </c>
      <c r="K16" s="16" t="inlineStr">
        <is>
          <t>Demande_Prevue</t>
        </is>
      </c>
    </row>
    <row r="17">
      <c r="A17" s="5" t="inlineStr">
        <is>
          <t>CMD2000</t>
        </is>
      </c>
      <c r="B17" s="5" t="inlineStr">
        <is>
          <t>2024-06-27</t>
        </is>
      </c>
      <c r="C17" s="5" t="inlineStr">
        <is>
          <t>Routeur WiFi 6</t>
        </is>
      </c>
      <c r="D17" s="5" t="n">
        <v>5</v>
      </c>
      <c r="E17" s="5" t="n">
        <v>559.87</v>
      </c>
      <c r="F17" s="5" t="n">
        <v>2799.35</v>
      </c>
      <c r="G17" s="5" t="inlineStr">
        <is>
          <t>Client_008</t>
        </is>
      </c>
      <c r="H17" s="5" t="inlineStr">
        <is>
          <t>Validé</t>
        </is>
      </c>
      <c r="I17" s="5" t="inlineStr">
        <is>
          <t>FRS204</t>
        </is>
      </c>
      <c r="J17" s="5" t="n">
        <v>159</v>
      </c>
      <c r="K17" s="5" t="n">
        <v>112</v>
      </c>
    </row>
    <row r="18">
      <c r="A18" s="5" t="inlineStr">
        <is>
          <t>CMD2001</t>
        </is>
      </c>
      <c r="B18" s="5" t="inlineStr">
        <is>
          <t>2024-06-06</t>
        </is>
      </c>
      <c r="C18" s="5" t="inlineStr">
        <is>
          <t>Casque Audio Pro</t>
        </is>
      </c>
      <c r="D18" s="5" t="n">
        <v>37</v>
      </c>
      <c r="E18" s="5" t="n">
        <v>1323.77</v>
      </c>
      <c r="F18" s="5" t="n">
        <v>48979.49</v>
      </c>
      <c r="G18" s="5" t="inlineStr">
        <is>
          <t>Client_008</t>
        </is>
      </c>
      <c r="H18" s="5" t="inlineStr">
        <is>
          <t>Validé</t>
        </is>
      </c>
      <c r="I18" s="5" t="inlineStr">
        <is>
          <t>FRS203</t>
        </is>
      </c>
      <c r="J18" s="5" t="n">
        <v>148</v>
      </c>
      <c r="K18" s="5" t="n">
        <v>98</v>
      </c>
    </row>
    <row r="19">
      <c r="A19" s="5" t="inlineStr">
        <is>
          <t>CMD2002</t>
        </is>
      </c>
      <c r="B19" s="5" t="inlineStr">
        <is>
          <t>2024-07-07</t>
        </is>
      </c>
      <c r="C19" s="5" t="inlineStr">
        <is>
          <t>Écran DELL 24"</t>
        </is>
      </c>
      <c r="D19" s="5" t="n">
        <v>33</v>
      </c>
      <c r="E19" s="5" t="n">
        <v>286.33</v>
      </c>
      <c r="F19" s="5" t="n">
        <v>9448.889999999999</v>
      </c>
      <c r="G19" s="5" t="inlineStr">
        <is>
          <t>Client_050</t>
        </is>
      </c>
      <c r="H19" s="5" t="inlineStr">
        <is>
          <t>Validé</t>
        </is>
      </c>
      <c r="I19" s="5" t="inlineStr">
        <is>
          <t>FRS204</t>
        </is>
      </c>
      <c r="J19" s="5" t="n">
        <v>84</v>
      </c>
      <c r="K19" s="5" t="n">
        <v>222</v>
      </c>
    </row>
    <row r="20">
      <c r="A20" s="5" t="inlineStr">
        <is>
          <t>CMD2003</t>
        </is>
      </c>
      <c r="B20" s="5" t="inlineStr">
        <is>
          <t>2024-06-29</t>
        </is>
      </c>
      <c r="C20" s="5" t="inlineStr">
        <is>
          <t>Webcam HD 1080p</t>
        </is>
      </c>
      <c r="D20" s="5" t="n">
        <v>14</v>
      </c>
      <c r="E20" s="5" t="n">
        <v>1281.72</v>
      </c>
      <c r="F20" s="5" t="n">
        <v>17944.08</v>
      </c>
      <c r="G20" s="5" t="inlineStr">
        <is>
          <t>Client_045</t>
        </is>
      </c>
      <c r="H20" s="5" t="inlineStr">
        <is>
          <t>Validé</t>
        </is>
      </c>
      <c r="I20" s="5" t="inlineStr">
        <is>
          <t>FRS202</t>
        </is>
      </c>
      <c r="J20" s="5" t="n">
        <v>39</v>
      </c>
      <c r="K20" s="5" t="n">
        <v>140</v>
      </c>
    </row>
    <row r="21">
      <c r="A21" s="5" t="inlineStr">
        <is>
          <t>CMD2004</t>
        </is>
      </c>
      <c r="B21" s="5" t="inlineStr">
        <is>
          <t>2024-06-15</t>
        </is>
      </c>
      <c r="C21" s="5" t="inlineStr">
        <is>
          <t>Disque SSD 1To</t>
        </is>
      </c>
      <c r="D21" s="5" t="n">
        <v>34</v>
      </c>
      <c r="E21" s="5" t="n">
        <v>1268.54</v>
      </c>
      <c r="F21" s="5" t="n">
        <v>43130.36</v>
      </c>
      <c r="G21" s="5" t="inlineStr">
        <is>
          <t>Client_046</t>
        </is>
      </c>
      <c r="H21" s="5" t="inlineStr">
        <is>
          <t>Validé</t>
        </is>
      </c>
      <c r="I21" s="5" t="inlineStr">
        <is>
          <t>FRS201</t>
        </is>
      </c>
      <c r="J21" s="5" t="n">
        <v>83</v>
      </c>
      <c r="K21" s="5" t="n">
        <v>205</v>
      </c>
    </row>
    <row r="22">
      <c r="A22" s="5" t="inlineStr">
        <is>
          <t>CMD2005</t>
        </is>
      </c>
      <c r="B22" s="5" t="inlineStr">
        <is>
          <t>2024-06-07</t>
        </is>
      </c>
      <c r="C22" s="5" t="inlineStr">
        <is>
          <t>Clavier Mécanique RGB</t>
        </is>
      </c>
      <c r="D22" s="5" t="n">
        <v>38</v>
      </c>
      <c r="E22" s="5" t="n">
        <v>1901.99</v>
      </c>
      <c r="F22" s="5" t="n">
        <v>72275.62</v>
      </c>
      <c r="G22" s="5" t="inlineStr">
        <is>
          <t>Client_048</t>
        </is>
      </c>
      <c r="H22" s="5" t="inlineStr">
        <is>
          <t>Validé</t>
        </is>
      </c>
      <c r="I22" s="5" t="inlineStr">
        <is>
          <t>FRS203</t>
        </is>
      </c>
      <c r="J22" s="5" t="n">
        <v>50</v>
      </c>
      <c r="K22" s="5" t="n">
        <v>88</v>
      </c>
    </row>
    <row r="23">
      <c r="A23" s="5" t="inlineStr">
        <is>
          <t>CMD2006</t>
        </is>
      </c>
      <c r="B23" s="5" t="inlineStr">
        <is>
          <t>2024-06-14</t>
        </is>
      </c>
      <c r="C23" s="5" t="inlineStr">
        <is>
          <t>Casque Audio Pro</t>
        </is>
      </c>
      <c r="D23" s="5" t="n">
        <v>10</v>
      </c>
      <c r="E23" s="5" t="n">
        <v>1099.02</v>
      </c>
      <c r="F23" s="5" t="n">
        <v>10990.2</v>
      </c>
      <c r="G23" s="5" t="inlineStr">
        <is>
          <t>Client_001</t>
        </is>
      </c>
      <c r="H23" s="5" t="inlineStr">
        <is>
          <t>Validé</t>
        </is>
      </c>
      <c r="I23" s="5" t="inlineStr">
        <is>
          <t>FRS202</t>
        </is>
      </c>
      <c r="J23" s="5" t="n">
        <v>103</v>
      </c>
      <c r="K23" s="5" t="n">
        <v>247</v>
      </c>
    </row>
    <row r="24">
      <c r="A24" s="5" t="inlineStr">
        <is>
          <t>CMD2007</t>
        </is>
      </c>
      <c r="B24" s="5" t="inlineStr">
        <is>
          <t>2024-07-23</t>
        </is>
      </c>
      <c r="C24" s="5" t="inlineStr">
        <is>
          <t>Disque SSD 1To</t>
        </is>
      </c>
      <c r="D24" s="5" t="n">
        <v>45</v>
      </c>
      <c r="E24" s="5" t="n">
        <v>248.09</v>
      </c>
      <c r="F24" s="5" t="n">
        <v>11164.05</v>
      </c>
      <c r="G24" s="5" t="inlineStr">
        <is>
          <t>Client_010</t>
        </is>
      </c>
      <c r="H24" s="5" t="inlineStr">
        <is>
          <t>Validé</t>
        </is>
      </c>
      <c r="I24" s="5" t="inlineStr">
        <is>
          <t>FRS202</t>
        </is>
      </c>
      <c r="J24" s="5" t="n">
        <v>25</v>
      </c>
      <c r="K24" s="5" t="n">
        <v>207</v>
      </c>
    </row>
    <row r="25">
      <c r="A25" s="5" t="inlineStr">
        <is>
          <t>CMD2008</t>
        </is>
      </c>
      <c r="B25" s="5" t="inlineStr">
        <is>
          <t>2024-07-14</t>
        </is>
      </c>
      <c r="C25" s="5" t="inlineStr">
        <is>
          <t>Scanner Pro A4</t>
        </is>
      </c>
      <c r="D25" s="5" t="n">
        <v>40</v>
      </c>
      <c r="E25" s="5" t="n">
        <v>2291.63</v>
      </c>
      <c r="F25" s="5" t="n">
        <v>91665.2</v>
      </c>
      <c r="G25" s="5" t="inlineStr">
        <is>
          <t>Client_031</t>
        </is>
      </c>
      <c r="H25" s="5" t="inlineStr">
        <is>
          <t>Validé</t>
        </is>
      </c>
      <c r="I25" s="5" t="inlineStr">
        <is>
          <t>FRS202</t>
        </is>
      </c>
      <c r="J25" s="5" t="n">
        <v>64</v>
      </c>
      <c r="K25" s="5" t="n">
        <v>216</v>
      </c>
    </row>
    <row r="26">
      <c r="A26" s="5" t="inlineStr">
        <is>
          <t>CMD2009</t>
        </is>
      </c>
      <c r="B26" s="5" t="inlineStr">
        <is>
          <t>2024-06-22</t>
        </is>
      </c>
      <c r="C26" s="5" t="inlineStr">
        <is>
          <t>Clavier Mécanique RGB</t>
        </is>
      </c>
      <c r="D26" s="5" t="n">
        <v>35</v>
      </c>
      <c r="E26" s="5" t="n">
        <v>501.04</v>
      </c>
      <c r="F26" s="5" t="n">
        <v>17536.4</v>
      </c>
      <c r="G26" s="5" t="inlineStr">
        <is>
          <t>Client_047</t>
        </is>
      </c>
      <c r="H26" s="5" t="inlineStr">
        <is>
          <t>Validé</t>
        </is>
      </c>
      <c r="I26" s="5" t="inlineStr">
        <is>
          <t>FRS202</t>
        </is>
      </c>
      <c r="J26" s="5" t="n">
        <v>96</v>
      </c>
      <c r="K26" s="5" t="n">
        <v>234</v>
      </c>
    </row>
    <row r="27">
      <c r="A27" s="5" t="inlineStr">
        <is>
          <t>CMD2010</t>
        </is>
      </c>
      <c r="B27" s="5" t="inlineStr">
        <is>
          <t>2024-07-23</t>
        </is>
      </c>
      <c r="C27" s="5" t="inlineStr">
        <is>
          <t>Scanner Pro A4</t>
        </is>
      </c>
      <c r="D27" s="5" t="n">
        <v>24</v>
      </c>
      <c r="E27" s="5" t="n">
        <v>805.13</v>
      </c>
      <c r="F27" s="5" t="n">
        <v>19323.12</v>
      </c>
      <c r="G27" s="5" t="inlineStr">
        <is>
          <t>Client_045</t>
        </is>
      </c>
      <c r="H27" s="5" t="inlineStr">
        <is>
          <t>Validé</t>
        </is>
      </c>
      <c r="I27" s="5" t="inlineStr">
        <is>
          <t>FRS204</t>
        </is>
      </c>
      <c r="J27" s="5" t="n">
        <v>100</v>
      </c>
      <c r="K27" s="5" t="n">
        <v>135</v>
      </c>
    </row>
    <row r="28">
      <c r="A28" s="5" t="inlineStr">
        <is>
          <t>CMD2011</t>
        </is>
      </c>
      <c r="B28" s="5" t="inlineStr">
        <is>
          <t>2024-06-22</t>
        </is>
      </c>
      <c r="C28" s="5" t="inlineStr">
        <is>
          <t>Écran DELL 24"</t>
        </is>
      </c>
      <c r="D28" s="5" t="n">
        <v>43</v>
      </c>
      <c r="E28" s="5" t="n">
        <v>582.13</v>
      </c>
      <c r="F28" s="5" t="n">
        <v>25031.59</v>
      </c>
      <c r="G28" s="5" t="inlineStr">
        <is>
          <t>Client_011</t>
        </is>
      </c>
      <c r="H28" s="5" t="inlineStr">
        <is>
          <t>Validé</t>
        </is>
      </c>
      <c r="I28" s="5" t="inlineStr">
        <is>
          <t>FRS201</t>
        </is>
      </c>
      <c r="J28" s="5" t="n">
        <v>108</v>
      </c>
      <c r="K28" s="5" t="n">
        <v>220</v>
      </c>
    </row>
    <row r="29">
      <c r="A29" s="5" t="inlineStr">
        <is>
          <t>CMD2012</t>
        </is>
      </c>
      <c r="B29" s="5" t="inlineStr">
        <is>
          <t>2024-07-09</t>
        </is>
      </c>
      <c r="C29" s="5" t="inlineStr">
        <is>
          <t>Casque Audio Pro</t>
        </is>
      </c>
      <c r="D29" s="5" t="n">
        <v>15</v>
      </c>
      <c r="E29" s="5" t="n">
        <v>686.29</v>
      </c>
      <c r="F29" s="5" t="n">
        <v>10294.35</v>
      </c>
      <c r="G29" s="5" t="inlineStr">
        <is>
          <t>Client_033</t>
        </is>
      </c>
      <c r="H29" s="5" t="inlineStr">
        <is>
          <t>Validé</t>
        </is>
      </c>
      <c r="I29" s="5" t="inlineStr">
        <is>
          <t>FRS201</t>
        </is>
      </c>
      <c r="J29" s="5" t="n">
        <v>175</v>
      </c>
      <c r="K29" s="5" t="n">
        <v>93</v>
      </c>
    </row>
    <row r="30">
      <c r="A30" s="5" t="inlineStr">
        <is>
          <t>CMD2013</t>
        </is>
      </c>
      <c r="B30" s="5" t="inlineStr">
        <is>
          <t>2024-06-29</t>
        </is>
      </c>
      <c r="C30" s="5" t="inlineStr">
        <is>
          <t>Souris Logitech MX</t>
        </is>
      </c>
      <c r="D30" s="5" t="n">
        <v>38</v>
      </c>
      <c r="E30" s="5" t="n">
        <v>792.87</v>
      </c>
      <c r="F30" s="5" t="n">
        <v>30129.06</v>
      </c>
      <c r="G30" s="5" t="inlineStr">
        <is>
          <t>Client_014</t>
        </is>
      </c>
      <c r="H30" s="5" t="inlineStr">
        <is>
          <t>Validé</t>
        </is>
      </c>
      <c r="I30" s="5" t="inlineStr">
        <is>
          <t>FRS204</t>
        </is>
      </c>
      <c r="J30" s="5" t="n">
        <v>80</v>
      </c>
      <c r="K30" s="5" t="n">
        <v>225</v>
      </c>
    </row>
    <row r="31">
      <c r="A31" s="5" t="inlineStr">
        <is>
          <t>CMD2014</t>
        </is>
      </c>
      <c r="B31" s="5" t="inlineStr">
        <is>
          <t>2024-06-04</t>
        </is>
      </c>
      <c r="C31" s="5" t="inlineStr">
        <is>
          <t>Scanner Pro A4</t>
        </is>
      </c>
      <c r="D31" s="5" t="n">
        <v>4</v>
      </c>
      <c r="E31" s="5" t="n">
        <v>1908.89</v>
      </c>
      <c r="F31" s="5" t="n">
        <v>7635.56</v>
      </c>
      <c r="G31" s="5" t="inlineStr">
        <is>
          <t>Client_009</t>
        </is>
      </c>
      <c r="H31" s="5" t="inlineStr">
        <is>
          <t>Validé</t>
        </is>
      </c>
      <c r="I31" s="5" t="inlineStr">
        <is>
          <t>FRS203</t>
        </is>
      </c>
      <c r="J31" s="5" t="n">
        <v>130</v>
      </c>
      <c r="K31" s="5" t="n">
        <v>180</v>
      </c>
    </row>
    <row r="32">
      <c r="A32" s="5" t="inlineStr">
        <is>
          <t>CMD2015</t>
        </is>
      </c>
      <c r="B32" s="5" t="inlineStr">
        <is>
          <t>2024-07-14</t>
        </is>
      </c>
      <c r="C32" s="5" t="inlineStr">
        <is>
          <t>Casque Audio Pro</t>
        </is>
      </c>
      <c r="D32" s="5" t="n">
        <v>29</v>
      </c>
      <c r="E32" s="5" t="n">
        <v>502.45</v>
      </c>
      <c r="F32" s="5" t="n">
        <v>14571.05</v>
      </c>
      <c r="G32" s="5" t="inlineStr">
        <is>
          <t>Client_017</t>
        </is>
      </c>
      <c r="H32" s="5" t="inlineStr">
        <is>
          <t>Validé</t>
        </is>
      </c>
      <c r="I32" s="5" t="inlineStr">
        <is>
          <t>FRS202</t>
        </is>
      </c>
      <c r="J32" s="5" t="n">
        <v>30</v>
      </c>
      <c r="K32" s="5" t="n">
        <v>133</v>
      </c>
    </row>
    <row r="33">
      <c r="A33" s="5" t="inlineStr">
        <is>
          <t>CMD2016</t>
        </is>
      </c>
      <c r="B33" s="5" t="inlineStr">
        <is>
          <t>2024-06-11</t>
        </is>
      </c>
      <c r="C33" s="5" t="inlineStr">
        <is>
          <t>Scanner Pro A4</t>
        </is>
      </c>
      <c r="D33" s="5" t="n">
        <v>35</v>
      </c>
      <c r="E33" s="5" t="n">
        <v>2430.78</v>
      </c>
      <c r="F33" s="5" t="n">
        <v>85077.3</v>
      </c>
      <c r="G33" s="5" t="inlineStr">
        <is>
          <t>Client_046</t>
        </is>
      </c>
      <c r="H33" s="5" t="inlineStr">
        <is>
          <t>Validé</t>
        </is>
      </c>
      <c r="I33" s="5" t="inlineStr">
        <is>
          <t>FRS202</t>
        </is>
      </c>
      <c r="J33" s="5" t="n">
        <v>115</v>
      </c>
      <c r="K33" s="5" t="n">
        <v>209</v>
      </c>
    </row>
    <row r="34">
      <c r="A34" s="5" t="inlineStr">
        <is>
          <t>CMD2017</t>
        </is>
      </c>
      <c r="B34" s="5" t="inlineStr">
        <is>
          <t>2024-06-26</t>
        </is>
      </c>
      <c r="C34" s="5" t="inlineStr">
        <is>
          <t>Laptop HP ProBook</t>
        </is>
      </c>
      <c r="D34" s="5" t="n">
        <v>8</v>
      </c>
      <c r="E34" s="5" t="n">
        <v>606.59</v>
      </c>
      <c r="F34" s="5" t="n">
        <v>4852.72</v>
      </c>
      <c r="G34" s="5" t="inlineStr">
        <is>
          <t>Client_007</t>
        </is>
      </c>
      <c r="H34" s="5" t="inlineStr">
        <is>
          <t>Validé</t>
        </is>
      </c>
      <c r="I34" s="5" t="inlineStr">
        <is>
          <t>FRS201</t>
        </is>
      </c>
      <c r="J34" s="5" t="n">
        <v>66</v>
      </c>
      <c r="K34" s="5" t="n">
        <v>101</v>
      </c>
    </row>
    <row r="35">
      <c r="A35" s="5" t="inlineStr">
        <is>
          <t>CMD2018</t>
        </is>
      </c>
      <c r="B35" s="5" t="inlineStr">
        <is>
          <t>2024-07-13</t>
        </is>
      </c>
      <c r="C35" s="5" t="inlineStr">
        <is>
          <t>Souris Logitech MX</t>
        </is>
      </c>
      <c r="D35" s="5" t="n">
        <v>12</v>
      </c>
      <c r="E35" s="5" t="n">
        <v>2671.21</v>
      </c>
      <c r="F35" s="5" t="n">
        <v>32054.52</v>
      </c>
      <c r="G35" s="5" t="inlineStr">
        <is>
          <t>Client_047</t>
        </is>
      </c>
      <c r="H35" s="5" t="inlineStr">
        <is>
          <t>Validé</t>
        </is>
      </c>
      <c r="I35" s="5" t="inlineStr">
        <is>
          <t>FRS201</t>
        </is>
      </c>
      <c r="J35" s="5" t="n">
        <v>53</v>
      </c>
      <c r="K35" s="5" t="n">
        <v>223</v>
      </c>
    </row>
    <row r="36">
      <c r="A36" s="5" t="inlineStr">
        <is>
          <t>CMD2019</t>
        </is>
      </c>
      <c r="B36" s="5" t="inlineStr">
        <is>
          <t>2024-07-26</t>
        </is>
      </c>
      <c r="C36" s="5" t="inlineStr">
        <is>
          <t>Clavier Mécanique RGB</t>
        </is>
      </c>
      <c r="D36" s="5" t="n">
        <v>45</v>
      </c>
      <c r="E36" s="5" t="n">
        <v>2271.16</v>
      </c>
      <c r="F36" s="5" t="n">
        <v>102202.2</v>
      </c>
      <c r="G36" s="5" t="inlineStr">
        <is>
          <t>Client_004</t>
        </is>
      </c>
      <c r="H36" s="5" t="inlineStr">
        <is>
          <t>Validé</t>
        </is>
      </c>
      <c r="I36" s="5" t="inlineStr">
        <is>
          <t>FRS202</t>
        </is>
      </c>
      <c r="J36" s="5" t="n">
        <v>46</v>
      </c>
      <c r="K36" s="5" t="n">
        <v>218</v>
      </c>
    </row>
    <row r="37">
      <c r="A37" s="5" t="inlineStr">
        <is>
          <t>CMD2020</t>
        </is>
      </c>
      <c r="B37" s="5" t="inlineStr">
        <is>
          <t>2024-06-15</t>
        </is>
      </c>
      <c r="C37" s="5" t="inlineStr">
        <is>
          <t>Imprimante Laser</t>
        </is>
      </c>
      <c r="D37" s="5" t="n">
        <v>27</v>
      </c>
      <c r="E37" s="5" t="n">
        <v>868.14</v>
      </c>
      <c r="F37" s="5" t="n">
        <v>23439.78</v>
      </c>
      <c r="G37" s="5" t="inlineStr">
        <is>
          <t>Client_031</t>
        </is>
      </c>
      <c r="H37" s="5" t="inlineStr">
        <is>
          <t>Validé</t>
        </is>
      </c>
      <c r="I37" s="5" t="inlineStr">
        <is>
          <t>FRS204</t>
        </is>
      </c>
      <c r="J37" s="5" t="n">
        <v>192</v>
      </c>
      <c r="K37" s="5" t="n">
        <v>154</v>
      </c>
    </row>
    <row r="38">
      <c r="A38" s="5" t="inlineStr">
        <is>
          <t>CMD2021</t>
        </is>
      </c>
      <c r="B38" s="5" t="inlineStr">
        <is>
          <t>2024-07-17</t>
        </is>
      </c>
      <c r="C38" s="5" t="inlineStr">
        <is>
          <t>Scanner Pro A4</t>
        </is>
      </c>
      <c r="D38" s="5" t="n">
        <v>49</v>
      </c>
      <c r="E38" s="5" t="n">
        <v>2226.24</v>
      </c>
      <c r="F38" s="5" t="n">
        <v>109085.76</v>
      </c>
      <c r="G38" s="5" t="inlineStr">
        <is>
          <t>Client_016</t>
        </is>
      </c>
      <c r="H38" s="5" t="inlineStr">
        <is>
          <t>Validé</t>
        </is>
      </c>
      <c r="I38" s="5" t="inlineStr">
        <is>
          <t>FRS202</t>
        </is>
      </c>
      <c r="J38" s="5" t="n">
        <v>104</v>
      </c>
      <c r="K38" s="5" t="n">
        <v>88</v>
      </c>
    </row>
    <row r="39">
      <c r="A39" s="5" t="inlineStr">
        <is>
          <t>CMD2022</t>
        </is>
      </c>
      <c r="B39" s="5" t="inlineStr">
        <is>
          <t>2024-06-18</t>
        </is>
      </c>
      <c r="C39" s="5" t="inlineStr">
        <is>
          <t>Clavier Mécanique RGB</t>
        </is>
      </c>
      <c r="D39" s="5" t="n">
        <v>17</v>
      </c>
      <c r="E39" s="5" t="n">
        <v>2099.71</v>
      </c>
      <c r="F39" s="5" t="n">
        <v>35695.07</v>
      </c>
      <c r="G39" s="5" t="inlineStr">
        <is>
          <t>Client_044</t>
        </is>
      </c>
      <c r="H39" s="5" t="inlineStr">
        <is>
          <t>Validé</t>
        </is>
      </c>
      <c r="I39" s="5" t="inlineStr">
        <is>
          <t>FRS201</t>
        </is>
      </c>
      <c r="J39" s="5" t="n">
        <v>198</v>
      </c>
      <c r="K39" s="5" t="n">
        <v>85</v>
      </c>
    </row>
    <row r="40">
      <c r="A40" s="5" t="inlineStr">
        <is>
          <t>CMD2023</t>
        </is>
      </c>
      <c r="B40" s="5" t="inlineStr">
        <is>
          <t>2024-07-31</t>
        </is>
      </c>
      <c r="C40" s="5" t="inlineStr">
        <is>
          <t>Clavier Mécanique RGB</t>
        </is>
      </c>
      <c r="D40" s="5" t="n">
        <v>16</v>
      </c>
      <c r="E40" s="5" t="n">
        <v>2431.09</v>
      </c>
      <c r="F40" s="5" t="n">
        <v>38897.44</v>
      </c>
      <c r="G40" s="5" t="inlineStr">
        <is>
          <t>Client_013</t>
        </is>
      </c>
      <c r="H40" s="5" t="inlineStr">
        <is>
          <t>Validé</t>
        </is>
      </c>
      <c r="I40" s="5" t="inlineStr">
        <is>
          <t>FRS204</t>
        </is>
      </c>
      <c r="J40" s="5" t="n">
        <v>47</v>
      </c>
      <c r="K40" s="5" t="n">
        <v>123</v>
      </c>
    </row>
    <row r="41">
      <c r="A41" s="5" t="inlineStr">
        <is>
          <t>CMD2024</t>
        </is>
      </c>
      <c r="B41" s="5" t="inlineStr">
        <is>
          <t>2024-06-04</t>
        </is>
      </c>
      <c r="C41" s="5" t="inlineStr">
        <is>
          <t>Routeur WiFi 6</t>
        </is>
      </c>
      <c r="D41" s="5" t="n">
        <v>32</v>
      </c>
      <c r="E41" s="5" t="n">
        <v>2293.72</v>
      </c>
      <c r="F41" s="5" t="n">
        <v>73399.03999999999</v>
      </c>
      <c r="G41" s="5" t="inlineStr">
        <is>
          <t>Client_018</t>
        </is>
      </c>
      <c r="H41" s="5" t="inlineStr">
        <is>
          <t>Validé</t>
        </is>
      </c>
      <c r="I41" s="5" t="inlineStr">
        <is>
          <t>FRS204</t>
        </is>
      </c>
      <c r="J41" s="5" t="n">
        <v>75</v>
      </c>
      <c r="K41" s="5" t="n">
        <v>217</v>
      </c>
    </row>
    <row r="42">
      <c r="A42" s="5" t="inlineStr">
        <is>
          <t>CMD2025</t>
        </is>
      </c>
      <c r="B42" s="5" t="inlineStr">
        <is>
          <t>2024-06-25</t>
        </is>
      </c>
      <c r="C42" s="5" t="inlineStr">
        <is>
          <t>Tablette Graphique</t>
        </is>
      </c>
      <c r="D42" s="5" t="n">
        <v>38</v>
      </c>
      <c r="E42" s="5" t="n">
        <v>2530.2</v>
      </c>
      <c r="F42" s="5" t="n">
        <v>96147.60000000001</v>
      </c>
      <c r="G42" s="5" t="inlineStr">
        <is>
          <t>Client_002</t>
        </is>
      </c>
      <c r="H42" s="5" t="inlineStr">
        <is>
          <t>Validé</t>
        </is>
      </c>
      <c r="I42" s="5" t="inlineStr">
        <is>
          <t>FRS204</t>
        </is>
      </c>
      <c r="J42" s="5" t="n">
        <v>69</v>
      </c>
      <c r="K42" s="5" t="n">
        <v>177</v>
      </c>
    </row>
    <row r="43">
      <c r="A43" s="5" t="inlineStr">
        <is>
          <t>CMD2026</t>
        </is>
      </c>
      <c r="B43" s="5" t="inlineStr">
        <is>
          <t>2024-07-13</t>
        </is>
      </c>
      <c r="C43" s="5" t="inlineStr">
        <is>
          <t>Tablette Graphique</t>
        </is>
      </c>
      <c r="D43" s="5" t="n">
        <v>19</v>
      </c>
      <c r="E43" s="5" t="n">
        <v>541.64</v>
      </c>
      <c r="F43" s="5" t="n">
        <v>10291.16</v>
      </c>
      <c r="G43" s="5" t="inlineStr">
        <is>
          <t>Client_038</t>
        </is>
      </c>
      <c r="H43" s="5" t="inlineStr">
        <is>
          <t>Validé</t>
        </is>
      </c>
      <c r="I43" s="5" t="inlineStr">
        <is>
          <t>FRS202</t>
        </is>
      </c>
      <c r="J43" s="5" t="n">
        <v>137</v>
      </c>
      <c r="K43" s="5" t="n">
        <v>51</v>
      </c>
    </row>
    <row r="44">
      <c r="A44" s="5" t="inlineStr">
        <is>
          <t>CMD2027</t>
        </is>
      </c>
      <c r="B44" s="5" t="inlineStr">
        <is>
          <t>2024-07-18</t>
        </is>
      </c>
      <c r="C44" s="5" t="inlineStr">
        <is>
          <t>Casque Audio Pro</t>
        </is>
      </c>
      <c r="D44" s="5" t="n">
        <v>14</v>
      </c>
      <c r="E44" s="5" t="n">
        <v>1504.08</v>
      </c>
      <c r="F44" s="5" t="n">
        <v>21057.12</v>
      </c>
      <c r="G44" s="5" t="inlineStr">
        <is>
          <t>Client_025</t>
        </is>
      </c>
      <c r="H44" s="5" t="inlineStr">
        <is>
          <t>Validé</t>
        </is>
      </c>
      <c r="I44" s="5" t="inlineStr">
        <is>
          <t>FRS204</t>
        </is>
      </c>
      <c r="J44" s="5" t="n">
        <v>75</v>
      </c>
      <c r="K44" s="5" t="n">
        <v>41</v>
      </c>
    </row>
    <row r="45">
      <c r="A45" s="5" t="inlineStr">
        <is>
          <t>CMD2028</t>
        </is>
      </c>
      <c r="B45" s="5" t="inlineStr">
        <is>
          <t>2024-07-27</t>
        </is>
      </c>
      <c r="C45" s="5" t="inlineStr">
        <is>
          <t>Clavier Mécanique RGB</t>
        </is>
      </c>
      <c r="D45" s="5" t="n">
        <v>14</v>
      </c>
      <c r="E45" s="5" t="n">
        <v>2426.67</v>
      </c>
      <c r="F45" s="5" t="n">
        <v>33973.38</v>
      </c>
      <c r="G45" s="5" t="inlineStr">
        <is>
          <t>Client_019</t>
        </is>
      </c>
      <c r="H45" s="5" t="inlineStr">
        <is>
          <t>Validé</t>
        </is>
      </c>
      <c r="I45" s="5" t="inlineStr">
        <is>
          <t>FRS204</t>
        </is>
      </c>
      <c r="J45" s="5" t="n">
        <v>29</v>
      </c>
      <c r="K45" s="5" t="n">
        <v>181</v>
      </c>
    </row>
    <row r="46">
      <c r="A46" s="5" t="inlineStr">
        <is>
          <t>CMD2029</t>
        </is>
      </c>
      <c r="B46" s="5" t="inlineStr">
        <is>
          <t>2024-06-28</t>
        </is>
      </c>
      <c r="C46" s="5" t="inlineStr">
        <is>
          <t>Laptop HP ProBook</t>
        </is>
      </c>
      <c r="D46" s="5" t="n">
        <v>19</v>
      </c>
      <c r="E46" s="5" t="n">
        <v>2136.72</v>
      </c>
      <c r="F46" s="5" t="n">
        <v>40597.68</v>
      </c>
      <c r="G46" s="5" t="inlineStr">
        <is>
          <t>Client_013</t>
        </is>
      </c>
      <c r="H46" s="5" t="inlineStr">
        <is>
          <t>Validé</t>
        </is>
      </c>
      <c r="I46" s="5" t="inlineStr">
        <is>
          <t>FRS204</t>
        </is>
      </c>
      <c r="J46" s="5" t="n">
        <v>166</v>
      </c>
      <c r="K46" s="5" t="n">
        <v>160</v>
      </c>
    </row>
    <row r="47">
      <c r="A47" s="5" t="inlineStr">
        <is>
          <t>CMD2030</t>
        </is>
      </c>
      <c r="B47" s="5" t="inlineStr">
        <is>
          <t>2024-07-16</t>
        </is>
      </c>
      <c r="C47" s="5" t="inlineStr">
        <is>
          <t>Routeur WiFi 6</t>
        </is>
      </c>
      <c r="D47" s="5" t="n">
        <v>3</v>
      </c>
      <c r="E47" s="5" t="n">
        <v>2073.64</v>
      </c>
      <c r="F47" s="5" t="n">
        <v>6220.92</v>
      </c>
      <c r="G47" s="5" t="inlineStr">
        <is>
          <t>Client_047</t>
        </is>
      </c>
      <c r="H47" s="5" t="inlineStr">
        <is>
          <t>Validé</t>
        </is>
      </c>
      <c r="I47" s="5" t="inlineStr">
        <is>
          <t>FRS203</t>
        </is>
      </c>
      <c r="J47" s="5" t="n">
        <v>125</v>
      </c>
      <c r="K47" s="5" t="n">
        <v>50</v>
      </c>
    </row>
    <row r="48">
      <c r="A48" s="5" t="inlineStr">
        <is>
          <t>CMD2031</t>
        </is>
      </c>
      <c r="B48" s="5" t="inlineStr">
        <is>
          <t>2024-06-05</t>
        </is>
      </c>
      <c r="C48" s="5" t="inlineStr">
        <is>
          <t>Casque Audio Pro</t>
        </is>
      </c>
      <c r="D48" s="5" t="n">
        <v>7</v>
      </c>
      <c r="E48" s="5" t="n">
        <v>994.71</v>
      </c>
      <c r="F48" s="5" t="n">
        <v>6962.97</v>
      </c>
      <c r="G48" s="5" t="inlineStr">
        <is>
          <t>Client_023</t>
        </is>
      </c>
      <c r="H48" s="5" t="inlineStr">
        <is>
          <t>Validé</t>
        </is>
      </c>
      <c r="I48" s="5" t="inlineStr">
        <is>
          <t>FRS201</t>
        </is>
      </c>
      <c r="J48" s="5" t="n">
        <v>78</v>
      </c>
      <c r="K48" s="5" t="n">
        <v>74</v>
      </c>
    </row>
    <row r="49">
      <c r="A49" s="5" t="inlineStr">
        <is>
          <t>CMD2032</t>
        </is>
      </c>
      <c r="B49" s="5" t="inlineStr">
        <is>
          <t>2024-07-31</t>
        </is>
      </c>
      <c r="C49" s="5" t="inlineStr">
        <is>
          <t>Clavier Mécanique RGB</t>
        </is>
      </c>
      <c r="D49" s="5" t="n">
        <v>44</v>
      </c>
      <c r="E49" s="5" t="n">
        <v>1297.94</v>
      </c>
      <c r="F49" s="5" t="n">
        <v>57109.36</v>
      </c>
      <c r="G49" s="5" t="inlineStr">
        <is>
          <t>Client_014</t>
        </is>
      </c>
      <c r="H49" s="5" t="inlineStr">
        <is>
          <t>Validé</t>
        </is>
      </c>
      <c r="I49" s="5" t="inlineStr">
        <is>
          <t>FRS201</t>
        </is>
      </c>
      <c r="J49" s="5" t="n">
        <v>118</v>
      </c>
      <c r="K49" s="5" t="n">
        <v>171</v>
      </c>
    </row>
    <row r="50">
      <c r="A50" s="5" t="inlineStr">
        <is>
          <t>CMD2033</t>
        </is>
      </c>
      <c r="B50" s="5" t="inlineStr">
        <is>
          <t>2024-07-17</t>
        </is>
      </c>
      <c r="C50" s="5" t="inlineStr">
        <is>
          <t>Laptop HP ProBook</t>
        </is>
      </c>
      <c r="D50" s="5" t="n">
        <v>35</v>
      </c>
      <c r="E50" s="5" t="n">
        <v>2284.54</v>
      </c>
      <c r="F50" s="5" t="n">
        <v>79958.89999999999</v>
      </c>
      <c r="G50" s="5" t="inlineStr">
        <is>
          <t>Client_013</t>
        </is>
      </c>
      <c r="H50" s="5" t="inlineStr">
        <is>
          <t>Validé</t>
        </is>
      </c>
      <c r="I50" s="5" t="inlineStr">
        <is>
          <t>FRS202</t>
        </is>
      </c>
      <c r="J50" s="5" t="n">
        <v>52</v>
      </c>
      <c r="K50" s="5" t="n">
        <v>73</v>
      </c>
    </row>
    <row r="51">
      <c r="A51" s="5" t="inlineStr">
        <is>
          <t>CMD2034</t>
        </is>
      </c>
      <c r="B51" s="5" t="inlineStr">
        <is>
          <t>2024-07-03</t>
        </is>
      </c>
      <c r="C51" s="5" t="inlineStr">
        <is>
          <t>Laptop HP ProBook</t>
        </is>
      </c>
      <c r="D51" s="5" t="n">
        <v>25</v>
      </c>
      <c r="E51" s="5" t="n">
        <v>271.76</v>
      </c>
      <c r="F51" s="5" t="n">
        <v>6794</v>
      </c>
      <c r="G51" s="5" t="inlineStr">
        <is>
          <t>Client_027</t>
        </is>
      </c>
      <c r="H51" s="5" t="inlineStr">
        <is>
          <t>Validé</t>
        </is>
      </c>
      <c r="I51" s="5" t="inlineStr">
        <is>
          <t>FRS202</t>
        </is>
      </c>
      <c r="J51" s="5" t="n">
        <v>109</v>
      </c>
      <c r="K51" s="5" t="n">
        <v>242</v>
      </c>
    </row>
    <row r="52">
      <c r="A52" s="5" t="inlineStr">
        <is>
          <t>CMD2035</t>
        </is>
      </c>
      <c r="B52" s="5" t="inlineStr">
        <is>
          <t>2024-06-22</t>
        </is>
      </c>
      <c r="C52" s="5" t="inlineStr">
        <is>
          <t>Souris Logitech MX</t>
        </is>
      </c>
      <c r="D52" s="5" t="n">
        <v>17</v>
      </c>
      <c r="E52" s="5" t="n">
        <v>2829.95</v>
      </c>
      <c r="F52" s="5" t="n">
        <v>48109.15</v>
      </c>
      <c r="G52" s="5" t="inlineStr">
        <is>
          <t>Client_041</t>
        </is>
      </c>
      <c r="H52" s="5" t="inlineStr">
        <is>
          <t>Validé</t>
        </is>
      </c>
      <c r="I52" s="5" t="inlineStr">
        <is>
          <t>FRS201</t>
        </is>
      </c>
      <c r="J52" s="5" t="n">
        <v>180</v>
      </c>
      <c r="K52" s="5" t="n">
        <v>59</v>
      </c>
    </row>
    <row r="53">
      <c r="A53" s="5" t="inlineStr">
        <is>
          <t>CMD2036</t>
        </is>
      </c>
      <c r="B53" s="5" t="inlineStr">
        <is>
          <t>2024-06-17</t>
        </is>
      </c>
      <c r="C53" s="5" t="inlineStr">
        <is>
          <t>Laptop HP ProBook</t>
        </is>
      </c>
      <c r="D53" s="5" t="n">
        <v>38</v>
      </c>
      <c r="E53" s="5" t="n">
        <v>2066.46</v>
      </c>
      <c r="F53" s="5" t="n">
        <v>78525.48</v>
      </c>
      <c r="G53" s="5" t="inlineStr">
        <is>
          <t>Client_036</t>
        </is>
      </c>
      <c r="H53" s="5" t="inlineStr">
        <is>
          <t>Validé</t>
        </is>
      </c>
      <c r="I53" s="5" t="inlineStr">
        <is>
          <t>FRS202</t>
        </is>
      </c>
      <c r="J53" s="5" t="n">
        <v>32</v>
      </c>
      <c r="K53" s="5" t="n">
        <v>84</v>
      </c>
    </row>
    <row r="54">
      <c r="A54" s="5" t="inlineStr">
        <is>
          <t>CMD2037</t>
        </is>
      </c>
      <c r="B54" s="5" t="inlineStr">
        <is>
          <t>2024-07-07</t>
        </is>
      </c>
      <c r="C54" s="5" t="inlineStr">
        <is>
          <t>Souris Logitech MX</t>
        </is>
      </c>
      <c r="D54" s="5" t="n">
        <v>16</v>
      </c>
      <c r="E54" s="5" t="n">
        <v>1851.2</v>
      </c>
      <c r="F54" s="5" t="n">
        <v>29619.2</v>
      </c>
      <c r="G54" s="5" t="inlineStr">
        <is>
          <t>Client_008</t>
        </is>
      </c>
      <c r="H54" s="5" t="inlineStr">
        <is>
          <t>Validé</t>
        </is>
      </c>
      <c r="I54" s="5" t="inlineStr">
        <is>
          <t>FRS201</t>
        </is>
      </c>
      <c r="J54" s="5" t="n">
        <v>30</v>
      </c>
      <c r="K54" s="5" t="n">
        <v>203</v>
      </c>
    </row>
    <row r="55">
      <c r="A55" s="5" t="inlineStr">
        <is>
          <t>CMD2038</t>
        </is>
      </c>
      <c r="B55" s="5" t="inlineStr">
        <is>
          <t>2024-06-21</t>
        </is>
      </c>
      <c r="C55" s="5" t="inlineStr">
        <is>
          <t>Scanner Pro A4</t>
        </is>
      </c>
      <c r="D55" s="5" t="n">
        <v>2</v>
      </c>
      <c r="E55" s="5" t="n">
        <v>1819.34</v>
      </c>
      <c r="F55" s="5" t="n">
        <v>3638.68</v>
      </c>
      <c r="G55" s="5" t="inlineStr">
        <is>
          <t>Client_027</t>
        </is>
      </c>
      <c r="H55" s="5" t="inlineStr">
        <is>
          <t>Validé</t>
        </is>
      </c>
      <c r="I55" s="5" t="inlineStr">
        <is>
          <t>FRS204</t>
        </is>
      </c>
      <c r="J55" s="5" t="n">
        <v>179</v>
      </c>
      <c r="K55" s="5" t="n">
        <v>98</v>
      </c>
    </row>
    <row r="56">
      <c r="A56" s="5" t="inlineStr">
        <is>
          <t>CMD2039</t>
        </is>
      </c>
      <c r="B56" s="5" t="inlineStr">
        <is>
          <t>2024-07-03</t>
        </is>
      </c>
      <c r="C56" s="5" t="inlineStr">
        <is>
          <t>Laptop HP ProBook</t>
        </is>
      </c>
      <c r="D56" s="5" t="n">
        <v>40</v>
      </c>
      <c r="E56" s="5" t="n">
        <v>875.0599999999999</v>
      </c>
      <c r="F56" s="5" t="n">
        <v>35002.4</v>
      </c>
      <c r="G56" s="5" t="inlineStr">
        <is>
          <t>Client_040</t>
        </is>
      </c>
      <c r="H56" s="5" t="inlineStr">
        <is>
          <t>Validé</t>
        </is>
      </c>
      <c r="I56" s="5" t="inlineStr">
        <is>
          <t>FRS204</t>
        </is>
      </c>
      <c r="J56" s="5" t="n">
        <v>69</v>
      </c>
      <c r="K56" s="5" t="n">
        <v>246</v>
      </c>
    </row>
    <row r="57">
      <c r="A57" s="5" t="inlineStr">
        <is>
          <t>CMD2040</t>
        </is>
      </c>
      <c r="B57" s="5" t="inlineStr">
        <is>
          <t>2024-07-16</t>
        </is>
      </c>
      <c r="C57" s="5" t="inlineStr">
        <is>
          <t>Clavier Mécanique RGB</t>
        </is>
      </c>
      <c r="D57" s="5" t="n">
        <v>22</v>
      </c>
      <c r="E57" s="5" t="n">
        <v>1910.97</v>
      </c>
      <c r="F57" s="5" t="n">
        <v>42041.34</v>
      </c>
      <c r="G57" s="5" t="inlineStr">
        <is>
          <t>Client_017</t>
        </is>
      </c>
      <c r="H57" s="5" t="inlineStr">
        <is>
          <t>Validé</t>
        </is>
      </c>
      <c r="I57" s="5" t="inlineStr">
        <is>
          <t>FRS201</t>
        </is>
      </c>
      <c r="J57" s="5" t="n">
        <v>112</v>
      </c>
      <c r="K57" s="5" t="n">
        <v>181</v>
      </c>
    </row>
    <row r="58">
      <c r="A58" s="5" t="inlineStr">
        <is>
          <t>CMD2041</t>
        </is>
      </c>
      <c r="B58" s="5" t="inlineStr">
        <is>
          <t>2024-07-13</t>
        </is>
      </c>
      <c r="C58" s="5" t="inlineStr">
        <is>
          <t>Imprimante Laser</t>
        </is>
      </c>
      <c r="D58" s="5" t="n">
        <v>39</v>
      </c>
      <c r="E58" s="5" t="n">
        <v>2458.58</v>
      </c>
      <c r="F58" s="5" t="n">
        <v>95884.62</v>
      </c>
      <c r="G58" s="5" t="inlineStr">
        <is>
          <t>Client_021</t>
        </is>
      </c>
      <c r="H58" s="5" t="inlineStr">
        <is>
          <t>Validé</t>
        </is>
      </c>
      <c r="I58" s="5" t="inlineStr">
        <is>
          <t>FRS202</t>
        </is>
      </c>
      <c r="J58" s="5" t="n">
        <v>75</v>
      </c>
      <c r="K58" s="5" t="n">
        <v>82</v>
      </c>
    </row>
    <row r="59">
      <c r="A59" s="5" t="inlineStr">
        <is>
          <t>CMD2042</t>
        </is>
      </c>
      <c r="B59" s="5" t="inlineStr">
        <is>
          <t>2024-07-05</t>
        </is>
      </c>
      <c r="C59" s="5" t="inlineStr">
        <is>
          <t>Imprimante Laser</t>
        </is>
      </c>
      <c r="D59" s="5" t="n">
        <v>22</v>
      </c>
      <c r="E59" s="5" t="n">
        <v>1937.91</v>
      </c>
      <c r="F59" s="5" t="n">
        <v>42634.02</v>
      </c>
      <c r="G59" s="5" t="inlineStr">
        <is>
          <t>Client_004</t>
        </is>
      </c>
      <c r="H59" s="5" t="inlineStr">
        <is>
          <t>Validé</t>
        </is>
      </c>
      <c r="I59" s="5" t="inlineStr">
        <is>
          <t>FRS201</t>
        </is>
      </c>
      <c r="J59" s="5" t="n">
        <v>23</v>
      </c>
      <c r="K59" s="5" t="n">
        <v>159</v>
      </c>
    </row>
    <row r="60">
      <c r="A60" s="5" t="inlineStr">
        <is>
          <t>CMD2043</t>
        </is>
      </c>
      <c r="B60" s="5" t="inlineStr">
        <is>
          <t>2024-07-29</t>
        </is>
      </c>
      <c r="C60" s="5" t="inlineStr">
        <is>
          <t>Clavier Mécanique RGB</t>
        </is>
      </c>
      <c r="D60" s="5" t="n">
        <v>34</v>
      </c>
      <c r="E60" s="5" t="n">
        <v>846.49</v>
      </c>
      <c r="F60" s="5" t="n">
        <v>28780.66</v>
      </c>
      <c r="G60" s="5" t="inlineStr">
        <is>
          <t>Client_033</t>
        </is>
      </c>
      <c r="H60" s="5" t="inlineStr">
        <is>
          <t>Validé</t>
        </is>
      </c>
      <c r="I60" s="5" t="inlineStr">
        <is>
          <t>FRS204</t>
        </is>
      </c>
      <c r="J60" s="5" t="n">
        <v>64</v>
      </c>
      <c r="K60" s="5" t="n">
        <v>153</v>
      </c>
    </row>
    <row r="61">
      <c r="A61" s="5" t="inlineStr">
        <is>
          <t>CMD2044</t>
        </is>
      </c>
      <c r="B61" s="5" t="inlineStr">
        <is>
          <t>2024-06-09</t>
        </is>
      </c>
      <c r="C61" s="5" t="inlineStr">
        <is>
          <t>Routeur WiFi 6</t>
        </is>
      </c>
      <c r="D61" s="5" t="n">
        <v>9</v>
      </c>
      <c r="E61" s="5" t="n">
        <v>1898.28</v>
      </c>
      <c r="F61" s="5" t="n">
        <v>17084.52</v>
      </c>
      <c r="G61" s="5" t="inlineStr">
        <is>
          <t>Client_014</t>
        </is>
      </c>
      <c r="H61" s="5" t="inlineStr">
        <is>
          <t>Validé</t>
        </is>
      </c>
      <c r="I61" s="5" t="inlineStr">
        <is>
          <t>FRS204</t>
        </is>
      </c>
      <c r="J61" s="5" t="n">
        <v>110</v>
      </c>
      <c r="K61" s="5" t="n">
        <v>247</v>
      </c>
    </row>
    <row r="62">
      <c r="A62" s="5" t="inlineStr">
        <is>
          <t>CMD2045</t>
        </is>
      </c>
      <c r="B62" s="5" t="inlineStr">
        <is>
          <t>2024-06-25</t>
        </is>
      </c>
      <c r="C62" s="5" t="inlineStr">
        <is>
          <t>Casque Audio Pro</t>
        </is>
      </c>
      <c r="D62" s="5" t="n">
        <v>48</v>
      </c>
      <c r="E62" s="5" t="n">
        <v>755.41</v>
      </c>
      <c r="F62" s="5" t="n">
        <v>36259.68</v>
      </c>
      <c r="G62" s="5" t="inlineStr">
        <is>
          <t>Client_012</t>
        </is>
      </c>
      <c r="H62" s="5" t="inlineStr">
        <is>
          <t>Validé</t>
        </is>
      </c>
      <c r="I62" s="5" t="inlineStr">
        <is>
          <t>FRS202</t>
        </is>
      </c>
      <c r="J62" s="5" t="n">
        <v>101</v>
      </c>
      <c r="K62" s="5" t="n">
        <v>54</v>
      </c>
    </row>
    <row r="63">
      <c r="A63" s="5" t="inlineStr">
        <is>
          <t>CMD2046</t>
        </is>
      </c>
      <c r="B63" s="5" t="inlineStr">
        <is>
          <t>2024-07-23</t>
        </is>
      </c>
      <c r="C63" s="5" t="inlineStr">
        <is>
          <t>Clavier Mécanique RGB</t>
        </is>
      </c>
      <c r="D63" s="5" t="n">
        <v>26</v>
      </c>
      <c r="E63" s="5" t="n">
        <v>470.06</v>
      </c>
      <c r="F63" s="5" t="n">
        <v>12221.56</v>
      </c>
      <c r="G63" s="5" t="inlineStr">
        <is>
          <t>Client_031</t>
        </is>
      </c>
      <c r="H63" s="5" t="inlineStr">
        <is>
          <t>Validé</t>
        </is>
      </c>
      <c r="I63" s="5" t="inlineStr">
        <is>
          <t>FRS203</t>
        </is>
      </c>
      <c r="J63" s="5" t="n">
        <v>83</v>
      </c>
      <c r="K63" s="5" t="n">
        <v>160</v>
      </c>
    </row>
    <row r="64">
      <c r="A64" s="5" t="inlineStr">
        <is>
          <t>CMD2047</t>
        </is>
      </c>
      <c r="B64" s="5" t="inlineStr">
        <is>
          <t>2024-06-06</t>
        </is>
      </c>
      <c r="C64" s="5" t="inlineStr">
        <is>
          <t>Routeur WiFi 6</t>
        </is>
      </c>
      <c r="D64" s="5" t="n">
        <v>10</v>
      </c>
      <c r="E64" s="5" t="n">
        <v>2804.76</v>
      </c>
      <c r="F64" s="5" t="n">
        <v>28047.6</v>
      </c>
      <c r="G64" s="5" t="inlineStr">
        <is>
          <t>Client_021</t>
        </is>
      </c>
      <c r="H64" s="5" t="inlineStr">
        <is>
          <t>Validé</t>
        </is>
      </c>
      <c r="I64" s="5" t="inlineStr">
        <is>
          <t>FRS204</t>
        </is>
      </c>
      <c r="J64" s="5" t="n">
        <v>55</v>
      </c>
      <c r="K64" s="5" t="n">
        <v>101</v>
      </c>
    </row>
    <row r="65">
      <c r="A65" s="5" t="inlineStr">
        <is>
          <t>CMD2048</t>
        </is>
      </c>
      <c r="B65" s="5" t="inlineStr">
        <is>
          <t>2024-07-01</t>
        </is>
      </c>
      <c r="C65" s="5" t="inlineStr">
        <is>
          <t>Casque Audio Pro</t>
        </is>
      </c>
      <c r="D65" s="5" t="n">
        <v>15</v>
      </c>
      <c r="E65" s="5" t="n">
        <v>425.09</v>
      </c>
      <c r="F65" s="5" t="n">
        <v>6376.35</v>
      </c>
      <c r="G65" s="5" t="inlineStr">
        <is>
          <t>Client_003</t>
        </is>
      </c>
      <c r="H65" s="5" t="inlineStr">
        <is>
          <t>Validé</t>
        </is>
      </c>
      <c r="I65" s="5" t="inlineStr">
        <is>
          <t>FRS201</t>
        </is>
      </c>
      <c r="J65" s="5" t="n">
        <v>139</v>
      </c>
      <c r="K65" s="5" t="n">
        <v>103</v>
      </c>
    </row>
    <row r="66">
      <c r="A66" s="5" t="inlineStr">
        <is>
          <t>CMD2049</t>
        </is>
      </c>
      <c r="B66" s="5" t="inlineStr">
        <is>
          <t>2024-06-05</t>
        </is>
      </c>
      <c r="C66" s="5" t="inlineStr">
        <is>
          <t>Webcam HD 1080p</t>
        </is>
      </c>
      <c r="D66" s="5" t="n">
        <v>4</v>
      </c>
      <c r="E66" s="5" t="n">
        <v>1783.41</v>
      </c>
      <c r="F66" s="5" t="n">
        <v>7133.64</v>
      </c>
      <c r="G66" s="5" t="inlineStr">
        <is>
          <t>Client_010</t>
        </is>
      </c>
      <c r="H66" s="5" t="inlineStr">
        <is>
          <t>Validé</t>
        </is>
      </c>
      <c r="I66" s="5" t="inlineStr">
        <is>
          <t>FRS201</t>
        </is>
      </c>
      <c r="J66" s="5" t="n">
        <v>110</v>
      </c>
      <c r="K66" s="5" t="n">
        <v>195</v>
      </c>
    </row>
    <row r="67">
      <c r="A67" s="5" t="inlineStr">
        <is>
          <t>CMD2050</t>
        </is>
      </c>
      <c r="B67" s="5" t="inlineStr">
        <is>
          <t>2024-07-10</t>
        </is>
      </c>
      <c r="C67" s="5" t="inlineStr">
        <is>
          <t>Switch 24 ports</t>
        </is>
      </c>
      <c r="D67" s="5" t="n">
        <v>41</v>
      </c>
      <c r="E67" s="5" t="n">
        <v>531.9</v>
      </c>
      <c r="F67" s="5" t="n">
        <v>21807.9</v>
      </c>
      <c r="G67" s="5" t="inlineStr">
        <is>
          <t>Client_038</t>
        </is>
      </c>
      <c r="H67" s="5" t="inlineStr">
        <is>
          <t>Validé</t>
        </is>
      </c>
      <c r="I67" s="5" t="inlineStr">
        <is>
          <t>FRS202</t>
        </is>
      </c>
      <c r="J67" s="5" t="n">
        <v>94</v>
      </c>
      <c r="K67" s="5" t="n">
        <v>176</v>
      </c>
    </row>
    <row r="68">
      <c r="A68" s="5" t="inlineStr">
        <is>
          <t>CMD2051</t>
        </is>
      </c>
      <c r="B68" s="5" t="inlineStr">
        <is>
          <t>2024-07-26</t>
        </is>
      </c>
      <c r="C68" s="5" t="inlineStr">
        <is>
          <t>Casque Audio Pro</t>
        </is>
      </c>
      <c r="D68" s="5" t="n">
        <v>21</v>
      </c>
      <c r="E68" s="5" t="n">
        <v>639.3</v>
      </c>
      <c r="F68" s="5" t="n">
        <v>13425.3</v>
      </c>
      <c r="G68" s="5" t="inlineStr">
        <is>
          <t>Client_014</t>
        </is>
      </c>
      <c r="H68" s="5" t="inlineStr">
        <is>
          <t>Validé</t>
        </is>
      </c>
      <c r="I68" s="5" t="inlineStr">
        <is>
          <t>FRS201</t>
        </is>
      </c>
      <c r="J68" s="5" t="n">
        <v>103</v>
      </c>
      <c r="K68" s="5" t="n">
        <v>223</v>
      </c>
    </row>
    <row r="69">
      <c r="A69" s="5" t="inlineStr">
        <is>
          <t>CMD2052</t>
        </is>
      </c>
      <c r="B69" s="5" t="inlineStr">
        <is>
          <t>2024-07-15</t>
        </is>
      </c>
      <c r="C69" s="5" t="inlineStr">
        <is>
          <t>Imprimante Laser</t>
        </is>
      </c>
      <c r="D69" s="5" t="n">
        <v>1</v>
      </c>
      <c r="E69" s="5" t="n">
        <v>969.39</v>
      </c>
      <c r="F69" s="5" t="n">
        <v>969.39</v>
      </c>
      <c r="G69" s="5" t="inlineStr">
        <is>
          <t>Client_015</t>
        </is>
      </c>
      <c r="H69" s="5" t="inlineStr">
        <is>
          <t>Validé</t>
        </is>
      </c>
      <c r="I69" s="5" t="inlineStr">
        <is>
          <t>FRS201</t>
        </is>
      </c>
      <c r="J69" s="5" t="n">
        <v>32</v>
      </c>
      <c r="K69" s="5" t="n">
        <v>143</v>
      </c>
    </row>
    <row r="70">
      <c r="A70" s="5" t="inlineStr">
        <is>
          <t>CMD2053</t>
        </is>
      </c>
      <c r="B70" s="5" t="inlineStr">
        <is>
          <t>2024-07-01</t>
        </is>
      </c>
      <c r="C70" s="5" t="inlineStr">
        <is>
          <t>Routeur WiFi 6</t>
        </is>
      </c>
      <c r="D70" s="5" t="n">
        <v>11</v>
      </c>
      <c r="E70" s="5" t="n">
        <v>2581.46</v>
      </c>
      <c r="F70" s="5" t="n">
        <v>28396.06</v>
      </c>
      <c r="G70" s="5" t="inlineStr">
        <is>
          <t>Client_025</t>
        </is>
      </c>
      <c r="H70" s="5" t="inlineStr">
        <is>
          <t>Validé</t>
        </is>
      </c>
      <c r="I70" s="5" t="inlineStr">
        <is>
          <t>FRS203</t>
        </is>
      </c>
      <c r="J70" s="5" t="n">
        <v>66</v>
      </c>
      <c r="K70" s="5" t="n">
        <v>235</v>
      </c>
    </row>
    <row r="71">
      <c r="A71" s="5" t="inlineStr">
        <is>
          <t>CMD2054</t>
        </is>
      </c>
      <c r="B71" s="5" t="inlineStr">
        <is>
          <t>2024-06-20</t>
        </is>
      </c>
      <c r="C71" s="5" t="inlineStr">
        <is>
          <t>Switch 24 ports</t>
        </is>
      </c>
      <c r="D71" s="5" t="n">
        <v>50</v>
      </c>
      <c r="E71" s="5" t="n">
        <v>228.15</v>
      </c>
      <c r="F71" s="5" t="n">
        <v>11407.5</v>
      </c>
      <c r="G71" s="5" t="inlineStr">
        <is>
          <t>Client_008</t>
        </is>
      </c>
      <c r="H71" s="5" t="inlineStr">
        <is>
          <t>Validé</t>
        </is>
      </c>
      <c r="I71" s="5" t="inlineStr">
        <is>
          <t>FRS203</t>
        </is>
      </c>
      <c r="J71" s="5" t="n">
        <v>177</v>
      </c>
      <c r="K71" s="5" t="n">
        <v>133</v>
      </c>
    </row>
    <row r="72">
      <c r="A72" s="5" t="inlineStr">
        <is>
          <t>CMD2055</t>
        </is>
      </c>
      <c r="B72" s="5" t="inlineStr">
        <is>
          <t>2024-07-03</t>
        </is>
      </c>
      <c r="C72" s="5" t="inlineStr">
        <is>
          <t>Tablette Graphique</t>
        </is>
      </c>
      <c r="D72" s="5" t="n">
        <v>25</v>
      </c>
      <c r="E72" s="5" t="n">
        <v>1046.22</v>
      </c>
      <c r="F72" s="5" t="n">
        <v>26155.5</v>
      </c>
      <c r="G72" s="5" t="inlineStr">
        <is>
          <t>Client_032</t>
        </is>
      </c>
      <c r="H72" s="5" t="inlineStr">
        <is>
          <t>Validé</t>
        </is>
      </c>
      <c r="I72" s="5" t="inlineStr">
        <is>
          <t>FRS202</t>
        </is>
      </c>
      <c r="J72" s="5" t="n">
        <v>148</v>
      </c>
      <c r="K72" s="5" t="n">
        <v>248</v>
      </c>
    </row>
    <row r="73">
      <c r="A73" s="5" t="inlineStr">
        <is>
          <t>CMD2056</t>
        </is>
      </c>
      <c r="B73" s="5" t="inlineStr">
        <is>
          <t>2024-06-13</t>
        </is>
      </c>
      <c r="C73" s="5" t="inlineStr">
        <is>
          <t>Scanner Pro A4</t>
        </is>
      </c>
      <c r="D73" s="5" t="n">
        <v>10</v>
      </c>
      <c r="E73" s="5" t="n">
        <v>250.52</v>
      </c>
      <c r="F73" s="5" t="n">
        <v>2505.2</v>
      </c>
      <c r="G73" s="5" t="inlineStr">
        <is>
          <t>Client_012</t>
        </is>
      </c>
      <c r="H73" s="5" t="inlineStr">
        <is>
          <t>Validé</t>
        </is>
      </c>
      <c r="I73" s="5" t="inlineStr">
        <is>
          <t>FRS201</t>
        </is>
      </c>
      <c r="J73" s="5" t="n">
        <v>167</v>
      </c>
      <c r="K73" s="5" t="n">
        <v>228</v>
      </c>
    </row>
    <row r="74">
      <c r="A74" s="5" t="inlineStr">
        <is>
          <t>CMD2057</t>
        </is>
      </c>
      <c r="B74" s="5" t="inlineStr">
        <is>
          <t>2024-06-04</t>
        </is>
      </c>
      <c r="C74" s="5" t="inlineStr">
        <is>
          <t>Disque SSD 1To</t>
        </is>
      </c>
      <c r="D74" s="5" t="n">
        <v>26</v>
      </c>
      <c r="E74" s="5" t="n">
        <v>2956.25</v>
      </c>
      <c r="F74" s="5" t="n">
        <v>76862.5</v>
      </c>
      <c r="G74" s="5" t="inlineStr">
        <is>
          <t>Client_013</t>
        </is>
      </c>
      <c r="H74" s="5" t="inlineStr">
        <is>
          <t>Validé</t>
        </is>
      </c>
      <c r="I74" s="5" t="inlineStr">
        <is>
          <t>FRS204</t>
        </is>
      </c>
      <c r="J74" s="5" t="n">
        <v>48</v>
      </c>
      <c r="K74" s="5" t="n">
        <v>162</v>
      </c>
    </row>
    <row r="75">
      <c r="A75" s="5" t="inlineStr">
        <is>
          <t>CMD2058</t>
        </is>
      </c>
      <c r="B75" s="5" t="inlineStr">
        <is>
          <t>2024-07-06</t>
        </is>
      </c>
      <c r="C75" s="5" t="inlineStr">
        <is>
          <t>Webcam HD 1080p</t>
        </is>
      </c>
      <c r="D75" s="5" t="n">
        <v>50</v>
      </c>
      <c r="E75" s="5" t="n">
        <v>1453.58</v>
      </c>
      <c r="F75" s="5" t="n">
        <v>72679</v>
      </c>
      <c r="G75" s="5" t="inlineStr">
        <is>
          <t>Client_004</t>
        </is>
      </c>
      <c r="H75" s="5" t="inlineStr">
        <is>
          <t>Validé</t>
        </is>
      </c>
      <c r="I75" s="5" t="inlineStr">
        <is>
          <t>FRS203</t>
        </is>
      </c>
      <c r="J75" s="5" t="n">
        <v>75</v>
      </c>
      <c r="K75" s="5" t="n">
        <v>165</v>
      </c>
    </row>
    <row r="76">
      <c r="A76" s="5" t="inlineStr">
        <is>
          <t>CMD2059</t>
        </is>
      </c>
      <c r="B76" s="5" t="inlineStr">
        <is>
          <t>2024-06-14</t>
        </is>
      </c>
      <c r="C76" s="5" t="inlineStr">
        <is>
          <t>Disque SSD 1To</t>
        </is>
      </c>
      <c r="D76" s="5" t="n">
        <v>27</v>
      </c>
      <c r="E76" s="5" t="n">
        <v>393.87</v>
      </c>
      <c r="F76" s="5" t="n">
        <v>10634.49</v>
      </c>
      <c r="G76" s="5" t="inlineStr">
        <is>
          <t>Client_020</t>
        </is>
      </c>
      <c r="H76" s="5" t="inlineStr">
        <is>
          <t>Validé</t>
        </is>
      </c>
      <c r="I76" s="5" t="inlineStr">
        <is>
          <t>FRS202</t>
        </is>
      </c>
      <c r="J76" s="5" t="n">
        <v>63</v>
      </c>
      <c r="K76" s="5" t="n">
        <v>250</v>
      </c>
    </row>
    <row r="77">
      <c r="A77" s="5" t="inlineStr">
        <is>
          <t>CMD2060</t>
        </is>
      </c>
      <c r="B77" s="5" t="inlineStr">
        <is>
          <t>2024-06-03</t>
        </is>
      </c>
      <c r="C77" s="5" t="inlineStr">
        <is>
          <t>Clavier Mécanique RGB</t>
        </is>
      </c>
      <c r="D77" s="5" t="n">
        <v>24</v>
      </c>
      <c r="E77" s="5" t="n">
        <v>1299.87</v>
      </c>
      <c r="F77" s="5" t="n">
        <v>31196.88</v>
      </c>
      <c r="G77" s="5" t="inlineStr">
        <is>
          <t>Client_004</t>
        </is>
      </c>
      <c r="H77" s="5" t="inlineStr">
        <is>
          <t>Validé</t>
        </is>
      </c>
      <c r="I77" s="5" t="inlineStr">
        <is>
          <t>FRS202</t>
        </is>
      </c>
      <c r="J77" s="5" t="n">
        <v>33</v>
      </c>
      <c r="K77" s="5" t="n">
        <v>183</v>
      </c>
    </row>
    <row r="78">
      <c r="A78" s="5" t="inlineStr">
        <is>
          <t>CMD2061</t>
        </is>
      </c>
      <c r="B78" s="5" t="inlineStr">
        <is>
          <t>2024-07-05</t>
        </is>
      </c>
      <c r="C78" s="5" t="inlineStr">
        <is>
          <t>Switch 24 ports</t>
        </is>
      </c>
      <c r="D78" s="5" t="n">
        <v>2</v>
      </c>
      <c r="E78" s="5" t="n">
        <v>814.86</v>
      </c>
      <c r="F78" s="5" t="n">
        <v>1629.72</v>
      </c>
      <c r="G78" s="5" t="inlineStr">
        <is>
          <t>Client_030</t>
        </is>
      </c>
      <c r="H78" s="5" t="inlineStr">
        <is>
          <t>Validé</t>
        </is>
      </c>
      <c r="I78" s="5" t="inlineStr">
        <is>
          <t>FRS203</t>
        </is>
      </c>
      <c r="J78" s="5" t="n">
        <v>127</v>
      </c>
      <c r="K78" s="5" t="n">
        <v>81</v>
      </c>
    </row>
    <row r="79">
      <c r="A79" s="5" t="inlineStr">
        <is>
          <t>CMD2062</t>
        </is>
      </c>
      <c r="B79" s="5" t="inlineStr">
        <is>
          <t>2024-07-07</t>
        </is>
      </c>
      <c r="C79" s="5" t="inlineStr">
        <is>
          <t>Webcam HD 1080p</t>
        </is>
      </c>
      <c r="D79" s="5" t="n">
        <v>50</v>
      </c>
      <c r="E79" s="5" t="n">
        <v>2320.22</v>
      </c>
      <c r="F79" s="5" t="n">
        <v>116011</v>
      </c>
      <c r="G79" s="5" t="inlineStr">
        <is>
          <t>Client_027</t>
        </is>
      </c>
      <c r="H79" s="5" t="inlineStr">
        <is>
          <t>Validé</t>
        </is>
      </c>
      <c r="I79" s="5" t="inlineStr">
        <is>
          <t>FRS203</t>
        </is>
      </c>
      <c r="J79" s="5" t="n">
        <v>194</v>
      </c>
      <c r="K79" s="5" t="n">
        <v>92</v>
      </c>
    </row>
    <row r="80">
      <c r="A80" s="5" t="inlineStr">
        <is>
          <t>CMD2063</t>
        </is>
      </c>
      <c r="B80" s="5" t="inlineStr">
        <is>
          <t>2024-07-23</t>
        </is>
      </c>
      <c r="C80" s="5" t="inlineStr">
        <is>
          <t>Clavier Mécanique RGB</t>
        </is>
      </c>
      <c r="D80" s="5" t="n">
        <v>2</v>
      </c>
      <c r="E80" s="5" t="n">
        <v>1893.73</v>
      </c>
      <c r="F80" s="5" t="n">
        <v>3787.46</v>
      </c>
      <c r="G80" s="5" t="inlineStr">
        <is>
          <t>Client_026</t>
        </is>
      </c>
      <c r="H80" s="5" t="inlineStr">
        <is>
          <t>Validé</t>
        </is>
      </c>
      <c r="I80" s="5" t="inlineStr">
        <is>
          <t>FRS204</t>
        </is>
      </c>
      <c r="J80" s="5" t="n">
        <v>146</v>
      </c>
      <c r="K80" s="5" t="n">
        <v>41</v>
      </c>
    </row>
    <row r="81">
      <c r="A81" s="5" t="inlineStr">
        <is>
          <t>CMD2064</t>
        </is>
      </c>
      <c r="B81" s="5" t="inlineStr">
        <is>
          <t>2024-07-10</t>
        </is>
      </c>
      <c r="C81" s="5" t="inlineStr">
        <is>
          <t>Scanner Pro A4</t>
        </is>
      </c>
      <c r="D81" s="5" t="n">
        <v>18</v>
      </c>
      <c r="E81" s="5" t="n">
        <v>1701.02</v>
      </c>
      <c r="F81" s="5" t="n">
        <v>30618.36</v>
      </c>
      <c r="G81" s="5" t="inlineStr">
        <is>
          <t>Client_038</t>
        </is>
      </c>
      <c r="H81" s="5" t="inlineStr">
        <is>
          <t>Validé</t>
        </is>
      </c>
      <c r="I81" s="5" t="inlineStr">
        <is>
          <t>FRS202</t>
        </is>
      </c>
      <c r="J81" s="5" t="n">
        <v>62</v>
      </c>
      <c r="K81" s="5" t="n">
        <v>55</v>
      </c>
    </row>
    <row r="82">
      <c r="A82" s="5" t="inlineStr">
        <is>
          <t>CMD2065</t>
        </is>
      </c>
      <c r="B82" s="5" t="inlineStr">
        <is>
          <t>2024-06-08</t>
        </is>
      </c>
      <c r="C82" s="5" t="inlineStr">
        <is>
          <t>Souris Logitech MX</t>
        </is>
      </c>
      <c r="D82" s="5" t="n">
        <v>39</v>
      </c>
      <c r="E82" s="5" t="n">
        <v>2029.94</v>
      </c>
      <c r="F82" s="5" t="n">
        <v>79167.66</v>
      </c>
      <c r="G82" s="5" t="inlineStr">
        <is>
          <t>Client_044</t>
        </is>
      </c>
      <c r="H82" s="5" t="inlineStr">
        <is>
          <t>Validé</t>
        </is>
      </c>
      <c r="I82" s="5" t="inlineStr">
        <is>
          <t>FRS202</t>
        </is>
      </c>
      <c r="J82" s="5" t="n">
        <v>148</v>
      </c>
      <c r="K82" s="5" t="n">
        <v>192</v>
      </c>
    </row>
    <row r="83">
      <c r="A83" s="5" t="inlineStr">
        <is>
          <t>CMD2066</t>
        </is>
      </c>
      <c r="B83" s="5" t="inlineStr">
        <is>
          <t>2024-06-27</t>
        </is>
      </c>
      <c r="C83" s="5" t="inlineStr">
        <is>
          <t>Imprimante Laser</t>
        </is>
      </c>
      <c r="D83" s="5" t="n">
        <v>17</v>
      </c>
      <c r="E83" s="5" t="n">
        <v>2634.35</v>
      </c>
      <c r="F83" s="5" t="n">
        <v>44783.95</v>
      </c>
      <c r="G83" s="5" t="inlineStr">
        <is>
          <t>Client_031</t>
        </is>
      </c>
      <c r="H83" s="5" t="inlineStr">
        <is>
          <t>Validé</t>
        </is>
      </c>
      <c r="I83" s="5" t="inlineStr">
        <is>
          <t>FRS201</t>
        </is>
      </c>
      <c r="J83" s="5" t="n">
        <v>62</v>
      </c>
      <c r="K83" s="5" t="n">
        <v>184</v>
      </c>
    </row>
    <row r="84">
      <c r="A84" s="5" t="inlineStr">
        <is>
          <t>CMD2067</t>
        </is>
      </c>
      <c r="B84" s="5" t="inlineStr">
        <is>
          <t>2024-07-01</t>
        </is>
      </c>
      <c r="C84" s="5" t="inlineStr">
        <is>
          <t>Laptop HP ProBook</t>
        </is>
      </c>
      <c r="D84" s="5" t="n">
        <v>36</v>
      </c>
      <c r="E84" s="5" t="n">
        <v>1219.92</v>
      </c>
      <c r="F84" s="5" t="n">
        <v>43917.12</v>
      </c>
      <c r="G84" s="5" t="inlineStr">
        <is>
          <t>Client_042</t>
        </is>
      </c>
      <c r="H84" s="5" t="inlineStr">
        <is>
          <t>Validé</t>
        </is>
      </c>
      <c r="I84" s="5" t="inlineStr">
        <is>
          <t>FRS203</t>
        </is>
      </c>
      <c r="J84" s="5" t="n">
        <v>75</v>
      </c>
      <c r="K84" s="5" t="n">
        <v>240</v>
      </c>
    </row>
    <row r="85">
      <c r="A85" s="5" t="inlineStr">
        <is>
          <t>CMD2068</t>
        </is>
      </c>
      <c r="B85" s="5" t="inlineStr">
        <is>
          <t>2024-07-31</t>
        </is>
      </c>
      <c r="C85" s="5" t="inlineStr">
        <is>
          <t>Tablette Graphique</t>
        </is>
      </c>
      <c r="D85" s="5" t="n">
        <v>41</v>
      </c>
      <c r="E85" s="5" t="n">
        <v>2038.67</v>
      </c>
      <c r="F85" s="5" t="n">
        <v>83585.47</v>
      </c>
      <c r="G85" s="5" t="inlineStr">
        <is>
          <t>Client_029</t>
        </is>
      </c>
      <c r="H85" s="5" t="inlineStr">
        <is>
          <t>Validé</t>
        </is>
      </c>
      <c r="I85" s="5" t="inlineStr">
        <is>
          <t>FRS202</t>
        </is>
      </c>
      <c r="J85" s="5" t="n">
        <v>75</v>
      </c>
      <c r="K85" s="5" t="n">
        <v>222</v>
      </c>
    </row>
    <row r="86">
      <c r="A86" s="5" t="inlineStr">
        <is>
          <t>CMD2069</t>
        </is>
      </c>
      <c r="B86" s="5" t="inlineStr">
        <is>
          <t>2024-06-28</t>
        </is>
      </c>
      <c r="C86" s="5" t="inlineStr">
        <is>
          <t>Routeur WiFi 6</t>
        </is>
      </c>
      <c r="D86" s="5" t="n">
        <v>44</v>
      </c>
      <c r="E86" s="5" t="n">
        <v>439.23</v>
      </c>
      <c r="F86" s="5" t="n">
        <v>19326.12</v>
      </c>
      <c r="G86" s="5" t="inlineStr">
        <is>
          <t>Client_009</t>
        </is>
      </c>
      <c r="H86" s="5" t="inlineStr">
        <is>
          <t>Validé</t>
        </is>
      </c>
      <c r="I86" s="5" t="inlineStr">
        <is>
          <t>FRS202</t>
        </is>
      </c>
      <c r="J86" s="5" t="n">
        <v>190</v>
      </c>
      <c r="K86" s="5" t="n">
        <v>191</v>
      </c>
    </row>
    <row r="87">
      <c r="A87" s="5" t="inlineStr">
        <is>
          <t>CMD2070</t>
        </is>
      </c>
      <c r="B87" s="5" t="inlineStr">
        <is>
          <t>2024-06-29</t>
        </is>
      </c>
      <c r="C87" s="5" t="inlineStr">
        <is>
          <t>Switch 24 ports</t>
        </is>
      </c>
      <c r="D87" s="5" t="n">
        <v>39</v>
      </c>
      <c r="E87" s="5" t="n">
        <v>1504.25</v>
      </c>
      <c r="F87" s="5" t="n">
        <v>58665.75</v>
      </c>
      <c r="G87" s="5" t="inlineStr">
        <is>
          <t>Client_047</t>
        </is>
      </c>
      <c r="H87" s="5" t="inlineStr">
        <is>
          <t>Validé</t>
        </is>
      </c>
      <c r="I87" s="5" t="inlineStr">
        <is>
          <t>FRS204</t>
        </is>
      </c>
      <c r="J87" s="5" t="n">
        <v>73</v>
      </c>
      <c r="K87" s="5" t="n">
        <v>88</v>
      </c>
    </row>
    <row r="88">
      <c r="A88" s="5" t="inlineStr">
        <is>
          <t>CMD2071</t>
        </is>
      </c>
      <c r="B88" s="5" t="inlineStr">
        <is>
          <t>2024-07-03</t>
        </is>
      </c>
      <c r="C88" s="5" t="inlineStr">
        <is>
          <t>Laptop HP ProBook</t>
        </is>
      </c>
      <c r="D88" s="5" t="n">
        <v>36</v>
      </c>
      <c r="E88" s="5" t="n">
        <v>2720.82</v>
      </c>
      <c r="F88" s="5" t="n">
        <v>97949.52</v>
      </c>
      <c r="G88" s="5" t="inlineStr">
        <is>
          <t>Client_039</t>
        </is>
      </c>
      <c r="H88" s="5" t="inlineStr">
        <is>
          <t>Validé</t>
        </is>
      </c>
      <c r="I88" s="5" t="inlineStr">
        <is>
          <t>FRS201</t>
        </is>
      </c>
      <c r="J88" s="5" t="n">
        <v>22</v>
      </c>
      <c r="K88" s="5" t="n">
        <v>64</v>
      </c>
    </row>
    <row r="89">
      <c r="A89" s="5" t="inlineStr">
        <is>
          <t>CMD2072</t>
        </is>
      </c>
      <c r="B89" s="5" t="inlineStr">
        <is>
          <t>2024-06-02</t>
        </is>
      </c>
      <c r="C89" s="5" t="inlineStr">
        <is>
          <t>Casque Audio Pro</t>
        </is>
      </c>
      <c r="D89" s="5" t="n">
        <v>14</v>
      </c>
      <c r="E89" s="5" t="n">
        <v>412.3</v>
      </c>
      <c r="F89" s="5" t="n">
        <v>5772.2</v>
      </c>
      <c r="G89" s="5" t="inlineStr">
        <is>
          <t>Client_020</t>
        </is>
      </c>
      <c r="H89" s="5" t="inlineStr">
        <is>
          <t>Validé</t>
        </is>
      </c>
      <c r="I89" s="5" t="inlineStr">
        <is>
          <t>FRS201</t>
        </is>
      </c>
      <c r="J89" s="5" t="n">
        <v>171</v>
      </c>
      <c r="K89" s="5" t="n">
        <v>39</v>
      </c>
    </row>
    <row r="90">
      <c r="A90" s="5" t="inlineStr">
        <is>
          <t>CMD2073</t>
        </is>
      </c>
      <c r="B90" s="5" t="inlineStr">
        <is>
          <t>2024-07-25</t>
        </is>
      </c>
      <c r="C90" s="5" t="inlineStr">
        <is>
          <t>Disque SSD 1To</t>
        </is>
      </c>
      <c r="D90" s="5" t="n">
        <v>42</v>
      </c>
      <c r="E90" s="5" t="n">
        <v>306.35</v>
      </c>
      <c r="F90" s="5" t="n">
        <v>12866.7</v>
      </c>
      <c r="G90" s="5" t="inlineStr">
        <is>
          <t>Client_021</t>
        </is>
      </c>
      <c r="H90" s="5" t="inlineStr">
        <is>
          <t>Validé</t>
        </is>
      </c>
      <c r="I90" s="5" t="inlineStr">
        <is>
          <t>FRS202</t>
        </is>
      </c>
      <c r="J90" s="5" t="n">
        <v>71</v>
      </c>
      <c r="K90" s="5" t="n">
        <v>84</v>
      </c>
    </row>
    <row r="91">
      <c r="A91" s="5" t="inlineStr">
        <is>
          <t>CMD2074</t>
        </is>
      </c>
      <c r="B91" s="5" t="inlineStr">
        <is>
          <t>2024-07-23</t>
        </is>
      </c>
      <c r="C91" s="5" t="inlineStr">
        <is>
          <t>Casque Audio Pro</t>
        </is>
      </c>
      <c r="D91" s="5" t="n">
        <v>45</v>
      </c>
      <c r="E91" s="5" t="n">
        <v>1982.66</v>
      </c>
      <c r="F91" s="5" t="n">
        <v>89219.7</v>
      </c>
      <c r="G91" s="5" t="inlineStr">
        <is>
          <t>Client_045</t>
        </is>
      </c>
      <c r="H91" s="5" t="inlineStr">
        <is>
          <t>Validé</t>
        </is>
      </c>
      <c r="I91" s="5" t="inlineStr">
        <is>
          <t>FRS202</t>
        </is>
      </c>
      <c r="J91" s="5" t="n">
        <v>62</v>
      </c>
      <c r="K91" s="5" t="n">
        <v>161</v>
      </c>
    </row>
    <row r="92">
      <c r="A92" s="5" t="inlineStr">
        <is>
          <t>CMD2075</t>
        </is>
      </c>
      <c r="B92" s="5" t="inlineStr">
        <is>
          <t>2024-06-28</t>
        </is>
      </c>
      <c r="C92" s="5" t="inlineStr">
        <is>
          <t>Webcam HD 1080p</t>
        </is>
      </c>
      <c r="D92" s="5" t="n">
        <v>18</v>
      </c>
      <c r="E92" s="5" t="n">
        <v>814.91</v>
      </c>
      <c r="F92" s="5" t="n">
        <v>14668.38</v>
      </c>
      <c r="G92" s="5" t="inlineStr">
        <is>
          <t>Client_048</t>
        </is>
      </c>
      <c r="H92" s="5" t="inlineStr">
        <is>
          <t>Validé</t>
        </is>
      </c>
      <c r="I92" s="5" t="inlineStr">
        <is>
          <t>FRS204</t>
        </is>
      </c>
      <c r="J92" s="5" t="n">
        <v>124</v>
      </c>
      <c r="K92" s="5" t="n">
        <v>235</v>
      </c>
    </row>
    <row r="93">
      <c r="A93" s="5" t="inlineStr">
        <is>
          <t>CMD2076</t>
        </is>
      </c>
      <c r="B93" s="5" t="inlineStr">
        <is>
          <t>2024-06-19</t>
        </is>
      </c>
      <c r="C93" s="5" t="inlineStr">
        <is>
          <t>Tablette Graphique</t>
        </is>
      </c>
      <c r="D93" s="5" t="n">
        <v>12</v>
      </c>
      <c r="E93" s="5" t="n">
        <v>1851.22</v>
      </c>
      <c r="F93" s="5" t="n">
        <v>22214.64</v>
      </c>
      <c r="G93" s="5" t="inlineStr">
        <is>
          <t>Client_020</t>
        </is>
      </c>
      <c r="H93" s="5" t="inlineStr">
        <is>
          <t>Validé</t>
        </is>
      </c>
      <c r="I93" s="5" t="inlineStr">
        <is>
          <t>FRS202</t>
        </is>
      </c>
      <c r="J93" s="5" t="n">
        <v>97</v>
      </c>
      <c r="K93" s="5" t="n">
        <v>107</v>
      </c>
    </row>
    <row r="94">
      <c r="A94" s="5" t="inlineStr">
        <is>
          <t>CMD2077</t>
        </is>
      </c>
      <c r="B94" s="5" t="inlineStr">
        <is>
          <t>2024-07-24</t>
        </is>
      </c>
      <c r="C94" s="5" t="inlineStr">
        <is>
          <t>Disque SSD 1To</t>
        </is>
      </c>
      <c r="D94" s="5" t="n">
        <v>45</v>
      </c>
      <c r="E94" s="5" t="n">
        <v>1120.8</v>
      </c>
      <c r="F94" s="5" t="n">
        <v>50436</v>
      </c>
      <c r="G94" s="5" t="inlineStr">
        <is>
          <t>Client_023</t>
        </is>
      </c>
      <c r="H94" s="5" t="inlineStr">
        <is>
          <t>Validé</t>
        </is>
      </c>
      <c r="I94" s="5" t="inlineStr">
        <is>
          <t>FRS203</t>
        </is>
      </c>
      <c r="J94" s="5" t="n">
        <v>71</v>
      </c>
      <c r="K94" s="5" t="n">
        <v>78</v>
      </c>
    </row>
    <row r="95">
      <c r="A95" s="5" t="inlineStr">
        <is>
          <t>CMD2078</t>
        </is>
      </c>
      <c r="B95" s="5" t="inlineStr">
        <is>
          <t>2024-07-18</t>
        </is>
      </c>
      <c r="C95" s="5" t="inlineStr">
        <is>
          <t>Clavier Mécanique RGB</t>
        </is>
      </c>
      <c r="D95" s="5" t="n">
        <v>23</v>
      </c>
      <c r="E95" s="5" t="n">
        <v>578.51</v>
      </c>
      <c r="F95" s="5" t="n">
        <v>13305.73</v>
      </c>
      <c r="G95" s="5" t="inlineStr">
        <is>
          <t>Client_049</t>
        </is>
      </c>
      <c r="H95" s="5" t="inlineStr">
        <is>
          <t>Validé</t>
        </is>
      </c>
      <c r="I95" s="5" t="inlineStr">
        <is>
          <t>FRS202</t>
        </is>
      </c>
      <c r="J95" s="5" t="n">
        <v>39</v>
      </c>
      <c r="K95" s="5" t="n">
        <v>44</v>
      </c>
    </row>
    <row r="96">
      <c r="A96" s="5" t="inlineStr">
        <is>
          <t>CMD2079</t>
        </is>
      </c>
      <c r="B96" s="5" t="inlineStr">
        <is>
          <t>2024-06-05</t>
        </is>
      </c>
      <c r="C96" s="5" t="inlineStr">
        <is>
          <t>Switch 24 ports</t>
        </is>
      </c>
      <c r="D96" s="5" t="n">
        <v>47</v>
      </c>
      <c r="E96" s="5" t="n">
        <v>2049.5</v>
      </c>
      <c r="F96" s="5" t="n">
        <v>96326.5</v>
      </c>
      <c r="G96" s="5" t="inlineStr">
        <is>
          <t>Client_016</t>
        </is>
      </c>
      <c r="H96" s="5" t="inlineStr">
        <is>
          <t>Validé</t>
        </is>
      </c>
      <c r="I96" s="5" t="inlineStr">
        <is>
          <t>FRS204</t>
        </is>
      </c>
      <c r="J96" s="5" t="n">
        <v>92</v>
      </c>
      <c r="K96" s="5" t="n">
        <v>123</v>
      </c>
    </row>
    <row r="99">
      <c r="A99" s="15" t="inlineStr">
        <is>
          <t>💰 MARGES PAR PRODUIT</t>
        </is>
      </c>
    </row>
    <row r="100">
      <c r="A100" s="4" t="inlineStr">
        <is>
          <t>Produit</t>
        </is>
      </c>
      <c r="B100" s="4" t="inlineStr">
        <is>
          <t>Marge_Pct</t>
        </is>
      </c>
      <c r="C100" s="4" t="inlineStr">
        <is>
          <t>Categorie</t>
        </is>
      </c>
    </row>
    <row r="101">
      <c r="A101" s="5" t="inlineStr">
        <is>
          <t>Laptop HP ProBook</t>
        </is>
      </c>
      <c r="B101" s="5" t="n">
        <v>22.6</v>
      </c>
      <c r="C101" s="5" t="inlineStr">
        <is>
          <t>Réseau</t>
        </is>
      </c>
    </row>
    <row r="102">
      <c r="A102" s="5" t="inlineStr">
        <is>
          <t>Écran DELL 24"</t>
        </is>
      </c>
      <c r="B102" s="5" t="n">
        <v>30.8</v>
      </c>
      <c r="C102" s="5" t="inlineStr">
        <is>
          <t>Réseau</t>
        </is>
      </c>
    </row>
    <row r="103">
      <c r="A103" s="5" t="inlineStr">
        <is>
          <t>Souris Logitech MX</t>
        </is>
      </c>
      <c r="B103" s="5" t="n">
        <v>38.5</v>
      </c>
      <c r="C103" s="5" t="inlineStr">
        <is>
          <t>Informatique</t>
        </is>
      </c>
    </row>
    <row r="104">
      <c r="A104" s="5" t="inlineStr">
        <is>
          <t>Clavier Mécanique RGB</t>
        </is>
      </c>
      <c r="B104" s="5" t="n">
        <v>21</v>
      </c>
      <c r="C104" s="5" t="inlineStr">
        <is>
          <t>Informatique</t>
        </is>
      </c>
    </row>
    <row r="105">
      <c r="A105" s="5" t="inlineStr">
        <is>
          <t>Webcam HD 1080p</t>
        </is>
      </c>
      <c r="B105" s="5" t="n">
        <v>36.6</v>
      </c>
      <c r="C105" s="5" t="inlineStr">
        <is>
          <t>Informatique</t>
        </is>
      </c>
    </row>
    <row r="106">
      <c r="A106" s="5" t="inlineStr">
        <is>
          <t>Casque Audio Pro</t>
        </is>
      </c>
      <c r="B106" s="5" t="n">
        <v>37.6</v>
      </c>
      <c r="C106" s="5" t="inlineStr">
        <is>
          <t>Informatique</t>
        </is>
      </c>
    </row>
    <row r="107">
      <c r="A107" s="5" t="inlineStr">
        <is>
          <t>Imprimante Laser</t>
        </is>
      </c>
      <c r="B107" s="5" t="n">
        <v>32</v>
      </c>
      <c r="C107" s="5" t="inlineStr">
        <is>
          <t>Informatique</t>
        </is>
      </c>
    </row>
    <row r="108">
      <c r="A108" s="5" t="inlineStr">
        <is>
          <t>Scanner Pro A4</t>
        </is>
      </c>
      <c r="B108" s="5" t="n">
        <v>18.3</v>
      </c>
      <c r="C108" s="5" t="inlineStr">
        <is>
          <t>Réseau</t>
        </is>
      </c>
    </row>
    <row r="109">
      <c r="A109" s="5" t="inlineStr">
        <is>
          <t>Tablette Graphique</t>
        </is>
      </c>
      <c r="B109" s="5" t="n">
        <v>28.8</v>
      </c>
      <c r="C109" s="5" t="inlineStr">
        <is>
          <t>Périphériques</t>
        </is>
      </c>
    </row>
    <row r="110">
      <c r="A110" s="5" t="inlineStr">
        <is>
          <t>Disque SSD 1To</t>
        </is>
      </c>
      <c r="B110" s="5" t="n">
        <v>35.7</v>
      </c>
      <c r="C110" s="5" t="inlineStr">
        <is>
          <t>Périphériques</t>
        </is>
      </c>
    </row>
    <row r="111">
      <c r="A111" s="5" t="inlineStr">
        <is>
          <t>Routeur WiFi 6</t>
        </is>
      </c>
      <c r="B111" s="5" t="n">
        <v>33.5</v>
      </c>
      <c r="C111" s="5" t="inlineStr">
        <is>
          <t>Périphériques</t>
        </is>
      </c>
    </row>
    <row r="112">
      <c r="A112" s="5" t="inlineStr">
        <is>
          <t>Switch 24 ports</t>
        </is>
      </c>
      <c r="B112" s="5" t="n">
        <v>32.2</v>
      </c>
      <c r="C112" s="5" t="inlineStr">
        <is>
          <t>Périphériques</t>
        </is>
      </c>
    </row>
  </sheetData>
  <mergeCells count="10">
    <mergeCell ref="A9:H9"/>
    <mergeCell ref="A99:C99"/>
    <mergeCell ref="A12:H12"/>
    <mergeCell ref="A1:H1"/>
    <mergeCell ref="A15:K15"/>
    <mergeCell ref="A2:H2"/>
    <mergeCell ref="A11:H11"/>
    <mergeCell ref="A5:H5"/>
    <mergeCell ref="A8:H8"/>
    <mergeCell ref="A6:H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7" t="inlineStr">
        <is>
          <t>🧮 PHASE 5 : CALCULS FINANCIERS AVANCÉS</t>
        </is>
      </c>
    </row>
    <row r="2">
      <c r="A2" s="8" t="inlineStr">
        <is>
          <t>⏱️ Durée : 15 min | 🎯 Points : 450</t>
        </is>
      </c>
    </row>
    <row r="4">
      <c r="A4" s="23" t="inlineStr">
        <is>
          <t>🎯 CONTEXTE : Calcul du ROI de l'investissement dans ce nouveau système de gestion</t>
        </is>
      </c>
    </row>
    <row r="6">
      <c r="A6" s="9" t="inlineStr">
        <is>
          <t>🎯 EXERCICES</t>
        </is>
      </c>
    </row>
    <row r="7">
      <c r="A7" t="inlineStr">
        <is>
          <t>Ex1 (150 pts) : Calculer la VAN du projet (taux actualisation 8%)</t>
        </is>
      </c>
    </row>
    <row r="8">
      <c r="A8" s="13" t="inlineStr">
        <is>
          <t>Formule : =REDUCE(0; SEQUENCE(120); LAMBDA(van; m; van + INDEX(Table_Flux_Projet[Flux_Mensuel]; m) / (1;08^m)))</t>
        </is>
      </c>
    </row>
    <row r="10">
      <c r="A10" t="inlineStr">
        <is>
          <t>Ex2 (150 pts) : Performance cumulative du portefeuille mois après mois</t>
        </is>
      </c>
    </row>
    <row r="11">
      <c r="A11" s="13" t="inlineStr">
        <is>
          <t>Formule : =SCAN(1; Table_Rendements_Mensuels[Rendement]; LAMBDA(perf; rend; perf * (1 + rend)))</t>
        </is>
      </c>
    </row>
    <row r="13">
      <c r="A13" t="inlineStr">
        <is>
          <t>Ex3 (150 pts) : Optimiser le calcul VAN avec LET (éviter répétitions)</t>
        </is>
      </c>
    </row>
    <row r="14">
      <c r="A14" s="13" t="inlineStr">
        <is>
          <t>Formule : =LET(flux; Table_Flux_Projet[Flux_Mensuel]; taux; 0;08; n; 120; per; SEQUENCE(n); van; REDUCE(0; per; LAMBDA(v; m; v + INDEX(flux; m)/(1+taux)^m)); van)</t>
        </is>
      </c>
    </row>
    <row r="17">
      <c r="A17" s="15" t="inlineStr">
        <is>
          <t>💰 FLUX DU PROJET (120 mois)</t>
        </is>
      </c>
    </row>
    <row r="18">
      <c r="A18" s="4" t="inlineStr">
        <is>
          <t>Mois</t>
        </is>
      </c>
      <c r="B18" s="4" t="inlineStr">
        <is>
          <t>Flux_Mensuel</t>
        </is>
      </c>
    </row>
    <row r="19">
      <c r="A19" s="5" t="n">
        <v>1</v>
      </c>
      <c r="B19" s="5" t="n">
        <v>-500000</v>
      </c>
    </row>
    <row r="20">
      <c r="A20" s="5" t="n">
        <v>2</v>
      </c>
      <c r="B20" s="5" t="n">
        <v>14746</v>
      </c>
    </row>
    <row r="21">
      <c r="A21" s="5" t="n">
        <v>3</v>
      </c>
      <c r="B21" s="5" t="n">
        <v>13635</v>
      </c>
    </row>
    <row r="22">
      <c r="A22" s="5" t="n">
        <v>4</v>
      </c>
      <c r="B22" s="5" t="n">
        <v>18363</v>
      </c>
    </row>
    <row r="23">
      <c r="A23" s="5" t="n">
        <v>5</v>
      </c>
      <c r="B23" s="5" t="n">
        <v>13885</v>
      </c>
    </row>
    <row r="24">
      <c r="A24" s="5" t="n">
        <v>6</v>
      </c>
      <c r="B24" s="5" t="n">
        <v>18007</v>
      </c>
    </row>
    <row r="25">
      <c r="A25" s="5" t="n">
        <v>7</v>
      </c>
      <c r="B25" s="5" t="n">
        <v>18047</v>
      </c>
    </row>
    <row r="26">
      <c r="A26" s="5" t="n">
        <v>8</v>
      </c>
      <c r="B26" s="5" t="n">
        <v>19278</v>
      </c>
    </row>
    <row r="27">
      <c r="A27" s="5" t="n">
        <v>9</v>
      </c>
      <c r="B27" s="5" t="n">
        <v>18611</v>
      </c>
    </row>
    <row r="28">
      <c r="A28" s="5" t="n">
        <v>10</v>
      </c>
      <c r="B28" s="5" t="n">
        <v>17310</v>
      </c>
    </row>
    <row r="29">
      <c r="A29" s="5" t="n">
        <v>11</v>
      </c>
      <c r="B29" s="5" t="n">
        <v>17326</v>
      </c>
    </row>
    <row r="30">
      <c r="A30" s="5" t="n">
        <v>12</v>
      </c>
      <c r="B30" s="5" t="n">
        <v>19628</v>
      </c>
    </row>
    <row r="31">
      <c r="A31" s="5" t="n">
        <v>13</v>
      </c>
      <c r="B31" s="5" t="n">
        <v>18171</v>
      </c>
    </row>
    <row r="32">
      <c r="A32" s="5" t="n">
        <v>14</v>
      </c>
      <c r="B32" s="5" t="n">
        <v>20154</v>
      </c>
    </row>
    <row r="33">
      <c r="A33" s="5" t="n">
        <v>15</v>
      </c>
      <c r="B33" s="5" t="n">
        <v>18363</v>
      </c>
    </row>
    <row r="34">
      <c r="A34" s="5" t="n">
        <v>16</v>
      </c>
      <c r="B34" s="5" t="n">
        <v>18888</v>
      </c>
    </row>
    <row r="35">
      <c r="A35" s="5" t="n">
        <v>17</v>
      </c>
      <c r="B35" s="5" t="n">
        <v>19064</v>
      </c>
    </row>
    <row r="36">
      <c r="A36" s="5" t="n">
        <v>18</v>
      </c>
      <c r="B36" s="5" t="n">
        <v>17044</v>
      </c>
    </row>
    <row r="37">
      <c r="A37" s="5" t="n">
        <v>19</v>
      </c>
      <c r="B37" s="5" t="n">
        <v>21177</v>
      </c>
    </row>
    <row r="38">
      <c r="A38" s="5" t="n">
        <v>20</v>
      </c>
      <c r="B38" s="5" t="n">
        <v>19197</v>
      </c>
    </row>
    <row r="39">
      <c r="A39" s="5" t="n">
        <v>21</v>
      </c>
      <c r="B39" s="5" t="n">
        <v>18502</v>
      </c>
    </row>
    <row r="40">
      <c r="A40" s="5" t="n">
        <v>22</v>
      </c>
      <c r="B40" s="5" t="n">
        <v>17746</v>
      </c>
    </row>
    <row r="41">
      <c r="A41" s="5" t="n">
        <v>23</v>
      </c>
      <c r="B41" s="5" t="n">
        <v>18607</v>
      </c>
    </row>
    <row r="42">
      <c r="A42" s="5" t="n">
        <v>24</v>
      </c>
      <c r="B42" s="5" t="n">
        <v>18554</v>
      </c>
    </row>
    <row r="43">
      <c r="A43" s="5" t="n">
        <v>25</v>
      </c>
      <c r="B43" s="5" t="n">
        <v>20041</v>
      </c>
    </row>
    <row r="44">
      <c r="A44" s="5" t="n">
        <v>26</v>
      </c>
      <c r="B44" s="5" t="n">
        <v>20923</v>
      </c>
    </row>
    <row r="45">
      <c r="A45" s="5" t="n">
        <v>27</v>
      </c>
      <c r="B45" s="5" t="n">
        <v>19096</v>
      </c>
    </row>
    <row r="46">
      <c r="A46" s="5" t="n">
        <v>28</v>
      </c>
      <c r="B46" s="5" t="n">
        <v>19246</v>
      </c>
    </row>
    <row r="47">
      <c r="A47" s="5" t="n">
        <v>29</v>
      </c>
      <c r="B47" s="5" t="n">
        <v>20615</v>
      </c>
    </row>
    <row r="48">
      <c r="A48" s="5" t="n">
        <v>30</v>
      </c>
      <c r="B48" s="5" t="n">
        <v>23748</v>
      </c>
    </row>
    <row r="49">
      <c r="A49" s="5" t="n">
        <v>31</v>
      </c>
      <c r="B49" s="5" t="n">
        <v>23855</v>
      </c>
    </row>
    <row r="50">
      <c r="A50" s="5" t="n">
        <v>32</v>
      </c>
      <c r="B50" s="5" t="n">
        <v>21542</v>
      </c>
    </row>
    <row r="51">
      <c r="A51" s="5" t="n">
        <v>33</v>
      </c>
      <c r="B51" s="5" t="n">
        <v>20456</v>
      </c>
    </row>
    <row r="52">
      <c r="A52" s="5" t="n">
        <v>34</v>
      </c>
      <c r="B52" s="5" t="n">
        <v>22726</v>
      </c>
    </row>
    <row r="53">
      <c r="A53" s="5" t="n">
        <v>35</v>
      </c>
      <c r="B53" s="5" t="n">
        <v>23850</v>
      </c>
    </row>
    <row r="54">
      <c r="A54" s="5" t="n">
        <v>36</v>
      </c>
      <c r="B54" s="5" t="n">
        <v>20714</v>
      </c>
    </row>
    <row r="55">
      <c r="A55" s="5" t="n">
        <v>37</v>
      </c>
      <c r="B55" s="5" t="n">
        <v>22643</v>
      </c>
    </row>
    <row r="56">
      <c r="A56" s="5" t="n">
        <v>38</v>
      </c>
      <c r="B56" s="5" t="n">
        <v>22967</v>
      </c>
    </row>
    <row r="57">
      <c r="A57" s="5" t="n">
        <v>39</v>
      </c>
      <c r="B57" s="5" t="n">
        <v>22007</v>
      </c>
    </row>
    <row r="58">
      <c r="A58" s="5" t="n">
        <v>40</v>
      </c>
      <c r="B58" s="5" t="n">
        <v>22801</v>
      </c>
    </row>
    <row r="59">
      <c r="A59" s="5" t="n">
        <v>41</v>
      </c>
      <c r="B59" s="5" t="n">
        <v>22131</v>
      </c>
    </row>
    <row r="60">
      <c r="A60" s="5" t="n">
        <v>42</v>
      </c>
      <c r="B60" s="5" t="n">
        <v>23017</v>
      </c>
    </row>
    <row r="61">
      <c r="A61" s="5" t="n">
        <v>43</v>
      </c>
      <c r="B61" s="5" t="n">
        <v>24695</v>
      </c>
    </row>
    <row r="62">
      <c r="A62" s="5" t="n">
        <v>44</v>
      </c>
      <c r="B62" s="5" t="n">
        <v>22014</v>
      </c>
    </row>
    <row r="63">
      <c r="A63" s="5" t="n">
        <v>45</v>
      </c>
      <c r="B63" s="5" t="n">
        <v>24358</v>
      </c>
    </row>
    <row r="64">
      <c r="A64" s="5" t="n">
        <v>46</v>
      </c>
      <c r="B64" s="5" t="n">
        <v>22415</v>
      </c>
    </row>
    <row r="65">
      <c r="A65" s="5" t="n">
        <v>47</v>
      </c>
      <c r="B65" s="5" t="n">
        <v>24740</v>
      </c>
    </row>
    <row r="66">
      <c r="A66" s="5" t="n">
        <v>48</v>
      </c>
      <c r="B66" s="5" t="n">
        <v>25171</v>
      </c>
    </row>
    <row r="67">
      <c r="A67" s="5" t="n">
        <v>49</v>
      </c>
      <c r="B67" s="5" t="n">
        <v>26250</v>
      </c>
    </row>
    <row r="68">
      <c r="A68" s="5" t="n">
        <v>50</v>
      </c>
      <c r="B68" s="5" t="n">
        <v>25402</v>
      </c>
    </row>
    <row r="69">
      <c r="A69" s="5" t="n">
        <v>51</v>
      </c>
      <c r="B69" s="5" t="n">
        <v>24275</v>
      </c>
    </row>
    <row r="70">
      <c r="A70" s="5" t="n">
        <v>52</v>
      </c>
      <c r="B70" s="5" t="n">
        <v>26652</v>
      </c>
    </row>
    <row r="71">
      <c r="A71" s="5" t="n">
        <v>53</v>
      </c>
      <c r="B71" s="5" t="n">
        <v>27378</v>
      </c>
    </row>
    <row r="72">
      <c r="A72" s="5" t="n">
        <v>54</v>
      </c>
      <c r="B72" s="5" t="n">
        <v>26546</v>
      </c>
    </row>
    <row r="73">
      <c r="A73" s="5" t="n">
        <v>55</v>
      </c>
      <c r="B73" s="5" t="n">
        <v>27623</v>
      </c>
    </row>
    <row r="74">
      <c r="A74" s="5" t="n">
        <v>56</v>
      </c>
      <c r="B74" s="5" t="n">
        <v>27880</v>
      </c>
    </row>
    <row r="75">
      <c r="A75" s="5" t="n">
        <v>57</v>
      </c>
      <c r="B75" s="5" t="n">
        <v>26710</v>
      </c>
    </row>
    <row r="76">
      <c r="A76" s="5" t="n">
        <v>58</v>
      </c>
      <c r="B76" s="5" t="n">
        <v>26038</v>
      </c>
    </row>
    <row r="77">
      <c r="A77" s="5" t="n">
        <v>59</v>
      </c>
      <c r="B77" s="5" t="n">
        <v>25037</v>
      </c>
    </row>
    <row r="78">
      <c r="A78" s="5" t="n">
        <v>60</v>
      </c>
      <c r="B78" s="5" t="n">
        <v>25269</v>
      </c>
    </row>
    <row r="79">
      <c r="A79" s="5" t="n">
        <v>61</v>
      </c>
      <c r="B79" s="5" t="n">
        <v>29036</v>
      </c>
    </row>
    <row r="80">
      <c r="A80" s="5" t="n">
        <v>62</v>
      </c>
      <c r="B80" s="5" t="n">
        <v>27258</v>
      </c>
    </row>
    <row r="81">
      <c r="A81" s="5" t="n">
        <v>63</v>
      </c>
      <c r="B81" s="5" t="n">
        <v>27330</v>
      </c>
    </row>
    <row r="82">
      <c r="A82" s="5" t="n">
        <v>64</v>
      </c>
      <c r="B82" s="5" t="n">
        <v>30296</v>
      </c>
    </row>
    <row r="83">
      <c r="A83" s="5" t="n">
        <v>65</v>
      </c>
      <c r="B83" s="5" t="n">
        <v>29975</v>
      </c>
    </row>
    <row r="84">
      <c r="A84" s="5" t="n">
        <v>66</v>
      </c>
      <c r="B84" s="5" t="n">
        <v>30407</v>
      </c>
    </row>
    <row r="85">
      <c r="A85" s="5" t="n">
        <v>67</v>
      </c>
      <c r="B85" s="5" t="n">
        <v>29595</v>
      </c>
    </row>
    <row r="86">
      <c r="A86" s="5" t="n">
        <v>68</v>
      </c>
      <c r="B86" s="5" t="n">
        <v>27787</v>
      </c>
    </row>
    <row r="87">
      <c r="A87" s="5" t="n">
        <v>69</v>
      </c>
      <c r="B87" s="5" t="n">
        <v>29645</v>
      </c>
    </row>
    <row r="88">
      <c r="A88" s="5" t="n">
        <v>70</v>
      </c>
      <c r="B88" s="5" t="n">
        <v>28531</v>
      </c>
    </row>
    <row r="89">
      <c r="A89" s="5" t="n">
        <v>71</v>
      </c>
      <c r="B89" s="5" t="n">
        <v>28074</v>
      </c>
    </row>
    <row r="90">
      <c r="A90" s="5" t="n">
        <v>72</v>
      </c>
      <c r="B90" s="5" t="n">
        <v>31665</v>
      </c>
    </row>
    <row r="91">
      <c r="A91" s="5" t="n">
        <v>73</v>
      </c>
      <c r="B91" s="5" t="n">
        <v>28265</v>
      </c>
    </row>
    <row r="92">
      <c r="A92" s="5" t="n">
        <v>74</v>
      </c>
      <c r="B92" s="5" t="n">
        <v>28964</v>
      </c>
    </row>
    <row r="93">
      <c r="A93" s="5" t="n">
        <v>75</v>
      </c>
      <c r="B93" s="5" t="n">
        <v>28479</v>
      </c>
    </row>
    <row r="94">
      <c r="A94" s="5" t="n">
        <v>76</v>
      </c>
      <c r="B94" s="5" t="n">
        <v>28968</v>
      </c>
    </row>
    <row r="95">
      <c r="A95" s="5" t="n">
        <v>77</v>
      </c>
      <c r="B95" s="5" t="n">
        <v>30668</v>
      </c>
    </row>
    <row r="96">
      <c r="A96" s="5" t="n">
        <v>78</v>
      </c>
      <c r="B96" s="5" t="n">
        <v>32571</v>
      </c>
    </row>
    <row r="97">
      <c r="A97" s="5" t="n">
        <v>79</v>
      </c>
      <c r="B97" s="5" t="n">
        <v>33478</v>
      </c>
    </row>
    <row r="98">
      <c r="A98" s="5" t="n">
        <v>80</v>
      </c>
      <c r="B98" s="5" t="n">
        <v>30394</v>
      </c>
    </row>
    <row r="99">
      <c r="A99" s="5" t="n">
        <v>81</v>
      </c>
      <c r="B99" s="5" t="n">
        <v>31786</v>
      </c>
    </row>
    <row r="100">
      <c r="A100" s="5" t="n">
        <v>82</v>
      </c>
      <c r="B100" s="5" t="n">
        <v>33891</v>
      </c>
    </row>
    <row r="101">
      <c r="A101" s="5" t="n">
        <v>83</v>
      </c>
      <c r="B101" s="5" t="n">
        <v>32342</v>
      </c>
    </row>
    <row r="102">
      <c r="A102" s="5" t="n">
        <v>84</v>
      </c>
      <c r="B102" s="5" t="n">
        <v>31051</v>
      </c>
    </row>
    <row r="103">
      <c r="A103" s="5" t="n">
        <v>85</v>
      </c>
      <c r="B103" s="5" t="n">
        <v>34320</v>
      </c>
    </row>
    <row r="104">
      <c r="A104" s="5" t="n">
        <v>86</v>
      </c>
      <c r="B104" s="5" t="n">
        <v>34027</v>
      </c>
    </row>
    <row r="105">
      <c r="A105" s="5" t="n">
        <v>87</v>
      </c>
      <c r="B105" s="5" t="n">
        <v>30443</v>
      </c>
    </row>
    <row r="106">
      <c r="A106" s="5" t="n">
        <v>88</v>
      </c>
      <c r="B106" s="5" t="n">
        <v>32888</v>
      </c>
    </row>
    <row r="107">
      <c r="A107" s="5" t="n">
        <v>89</v>
      </c>
      <c r="B107" s="5" t="n">
        <v>34598</v>
      </c>
    </row>
    <row r="108">
      <c r="A108" s="5" t="n">
        <v>90</v>
      </c>
      <c r="B108" s="5" t="n">
        <v>33205</v>
      </c>
    </row>
    <row r="109">
      <c r="A109" s="5" t="n">
        <v>91</v>
      </c>
      <c r="B109" s="5" t="n">
        <v>32224</v>
      </c>
    </row>
    <row r="110">
      <c r="A110" s="5" t="n">
        <v>92</v>
      </c>
      <c r="B110" s="5" t="n">
        <v>33088</v>
      </c>
    </row>
    <row r="111">
      <c r="A111" s="5" t="n">
        <v>93</v>
      </c>
      <c r="B111" s="5" t="n">
        <v>34072</v>
      </c>
    </row>
    <row r="112">
      <c r="A112" s="5" t="n">
        <v>94</v>
      </c>
      <c r="B112" s="5" t="n">
        <v>36081</v>
      </c>
    </row>
    <row r="113">
      <c r="A113" s="5" t="n">
        <v>95</v>
      </c>
      <c r="B113" s="5" t="n">
        <v>33346</v>
      </c>
    </row>
    <row r="114">
      <c r="A114" s="5" t="n">
        <v>96</v>
      </c>
      <c r="B114" s="5" t="n">
        <v>33490</v>
      </c>
    </row>
    <row r="115">
      <c r="A115" s="5" t="n">
        <v>97</v>
      </c>
      <c r="B115" s="5" t="n">
        <v>35127</v>
      </c>
    </row>
    <row r="116">
      <c r="A116" s="5" t="n">
        <v>98</v>
      </c>
      <c r="B116" s="5" t="n">
        <v>35714</v>
      </c>
    </row>
    <row r="117">
      <c r="A117" s="5" t="n">
        <v>99</v>
      </c>
      <c r="B117" s="5" t="n">
        <v>32851</v>
      </c>
    </row>
    <row r="118">
      <c r="A118" s="5" t="n">
        <v>100</v>
      </c>
      <c r="B118" s="5" t="n">
        <v>33737</v>
      </c>
    </row>
    <row r="119">
      <c r="A119" s="5" t="n">
        <v>101</v>
      </c>
      <c r="B119" s="5" t="n">
        <v>34540</v>
      </c>
    </row>
    <row r="120">
      <c r="A120" s="5" t="n">
        <v>102</v>
      </c>
      <c r="B120" s="5" t="n">
        <v>36251</v>
      </c>
    </row>
    <row r="121">
      <c r="A121" s="5" t="n">
        <v>103</v>
      </c>
      <c r="B121" s="5" t="n">
        <v>38139</v>
      </c>
    </row>
    <row r="122">
      <c r="A122" s="5" t="n">
        <v>104</v>
      </c>
      <c r="B122" s="5" t="n">
        <v>38119</v>
      </c>
    </row>
    <row r="123">
      <c r="A123" s="5" t="n">
        <v>105</v>
      </c>
      <c r="B123" s="5" t="n">
        <v>35868</v>
      </c>
    </row>
    <row r="124">
      <c r="A124" s="5" t="n">
        <v>106</v>
      </c>
      <c r="B124" s="5" t="n">
        <v>36936</v>
      </c>
    </row>
    <row r="125">
      <c r="A125" s="5" t="n">
        <v>107</v>
      </c>
      <c r="B125" s="5" t="n">
        <v>37763</v>
      </c>
    </row>
    <row r="126">
      <c r="A126" s="5" t="n">
        <v>108</v>
      </c>
      <c r="B126" s="5" t="n">
        <v>36786</v>
      </c>
    </row>
    <row r="127">
      <c r="A127" s="5" t="n">
        <v>109</v>
      </c>
      <c r="B127" s="5" t="n">
        <v>37394</v>
      </c>
    </row>
    <row r="128">
      <c r="A128" s="5" t="n">
        <v>110</v>
      </c>
      <c r="B128" s="5" t="n">
        <v>35588</v>
      </c>
    </row>
    <row r="129">
      <c r="A129" s="5" t="n">
        <v>111</v>
      </c>
      <c r="B129" s="5" t="n">
        <v>36098</v>
      </c>
    </row>
    <row r="130">
      <c r="A130" s="5" t="n">
        <v>112</v>
      </c>
      <c r="B130" s="5" t="n">
        <v>37945</v>
      </c>
    </row>
    <row r="131">
      <c r="A131" s="5" t="n">
        <v>113</v>
      </c>
      <c r="B131" s="5" t="n">
        <v>37567</v>
      </c>
    </row>
    <row r="132">
      <c r="A132" s="5" t="n">
        <v>114</v>
      </c>
      <c r="B132" s="5" t="n">
        <v>38442</v>
      </c>
    </row>
    <row r="133">
      <c r="A133" s="5" t="n">
        <v>115</v>
      </c>
      <c r="B133" s="5" t="n">
        <v>39451</v>
      </c>
    </row>
    <row r="134">
      <c r="A134" s="5" t="n">
        <v>116</v>
      </c>
      <c r="B134" s="5" t="n">
        <v>39383</v>
      </c>
    </row>
    <row r="135">
      <c r="A135" s="5" t="n">
        <v>117</v>
      </c>
      <c r="B135" s="5" t="n">
        <v>39179</v>
      </c>
    </row>
    <row r="136">
      <c r="A136" s="5" t="n">
        <v>118</v>
      </c>
      <c r="B136" s="5" t="n">
        <v>37716</v>
      </c>
    </row>
    <row r="137">
      <c r="A137" s="5" t="n">
        <v>119</v>
      </c>
      <c r="B137" s="5" t="n">
        <v>37722</v>
      </c>
    </row>
    <row r="138">
      <c r="A138" s="5" t="n">
        <v>120</v>
      </c>
      <c r="B138" s="5" t="n">
        <v>40072</v>
      </c>
    </row>
    <row r="141">
      <c r="A141" s="15" t="inlineStr">
        <is>
          <t>📈 RENDEMENTS MENSUELS DU SYSTÈME</t>
        </is>
      </c>
    </row>
    <row r="142">
      <c r="A142" s="4" t="inlineStr">
        <is>
          <t>Mois</t>
        </is>
      </c>
      <c r="B142" s="4" t="inlineStr">
        <is>
          <t>Rendement</t>
        </is>
      </c>
    </row>
    <row r="143">
      <c r="A143" s="5" t="n">
        <v>1</v>
      </c>
      <c r="B143" s="5" t="n">
        <v>0.0573</v>
      </c>
    </row>
    <row r="144">
      <c r="A144" s="5" t="n">
        <v>2</v>
      </c>
      <c r="B144" s="5" t="n">
        <v>0.0283</v>
      </c>
    </row>
    <row r="145">
      <c r="A145" s="5" t="n">
        <v>3</v>
      </c>
      <c r="B145" s="5" t="n">
        <v>0.0696</v>
      </c>
    </row>
    <row r="146">
      <c r="A146" s="5" t="n">
        <v>4</v>
      </c>
      <c r="B146" s="5" t="n">
        <v>0.0185</v>
      </c>
    </row>
    <row r="147">
      <c r="A147" s="5" t="n">
        <v>5</v>
      </c>
      <c r="B147" s="5" t="n">
        <v>0.0325</v>
      </c>
    </row>
    <row r="148">
      <c r="A148" s="5" t="n">
        <v>6</v>
      </c>
      <c r="B148" s="5" t="n">
        <v>-0.0098</v>
      </c>
    </row>
    <row r="149">
      <c r="A149" s="5" t="n">
        <v>7</v>
      </c>
      <c r="B149" s="5" t="n">
        <v>0.0699</v>
      </c>
    </row>
    <row r="150">
      <c r="A150" s="5" t="n">
        <v>8</v>
      </c>
      <c r="B150" s="5" t="n">
        <v>0.0732</v>
      </c>
    </row>
    <row r="151">
      <c r="A151" s="5" t="n">
        <v>9</v>
      </c>
      <c r="B151" s="5" t="n">
        <v>0.0001</v>
      </c>
    </row>
    <row r="152">
      <c r="A152" s="5" t="n">
        <v>10</v>
      </c>
      <c r="B152" s="5" t="n">
        <v>0.0131</v>
      </c>
    </row>
    <row r="153">
      <c r="A153" s="5" t="n">
        <v>11</v>
      </c>
      <c r="B153" s="5" t="n">
        <v>0.0189</v>
      </c>
    </row>
    <row r="154">
      <c r="A154" s="5" t="n">
        <v>12</v>
      </c>
      <c r="B154" s="5" t="n">
        <v>0.0565</v>
      </c>
    </row>
    <row r="155">
      <c r="A155" s="5" t="n">
        <v>13</v>
      </c>
      <c r="B155" s="5" t="n">
        <v>0.036</v>
      </c>
    </row>
    <row r="156">
      <c r="A156" s="5" t="n">
        <v>14</v>
      </c>
      <c r="B156" s="5" t="n">
        <v>0.0218</v>
      </c>
    </row>
    <row r="157">
      <c r="A157" s="5" t="n">
        <v>15</v>
      </c>
      <c r="B157" s="5" t="n">
        <v>0.0438</v>
      </c>
    </row>
    <row r="158">
      <c r="A158" s="5" t="n">
        <v>16</v>
      </c>
      <c r="B158" s="5" t="n">
        <v>0.0446</v>
      </c>
    </row>
    <row r="159">
      <c r="A159" s="5" t="n">
        <v>17</v>
      </c>
      <c r="B159" s="5" t="n">
        <v>0.0233</v>
      </c>
    </row>
    <row r="160">
      <c r="A160" s="5" t="n">
        <v>18</v>
      </c>
      <c r="B160" s="5" t="n">
        <v>0.0509</v>
      </c>
    </row>
    <row r="161">
      <c r="A161" s="5" t="n">
        <v>19</v>
      </c>
      <c r="B161" s="5" t="n">
        <v>0.0174</v>
      </c>
    </row>
    <row r="162">
      <c r="A162" s="5" t="n">
        <v>20</v>
      </c>
      <c r="B162" s="5" t="n">
        <v>0.0566</v>
      </c>
    </row>
    <row r="163">
      <c r="A163" s="5" t="n">
        <v>21</v>
      </c>
      <c r="B163" s="5" t="n">
        <v>0.0329</v>
      </c>
    </row>
    <row r="164">
      <c r="A164" s="5" t="n">
        <v>22</v>
      </c>
      <c r="B164" s="5" t="n">
        <v>0.051</v>
      </c>
    </row>
    <row r="165">
      <c r="A165" s="5" t="n">
        <v>23</v>
      </c>
      <c r="B165" s="5" t="n">
        <v>0.013</v>
      </c>
    </row>
    <row r="166">
      <c r="A166" s="5" t="n">
        <v>24</v>
      </c>
      <c r="B166" s="5" t="n">
        <v>0.0298</v>
      </c>
    </row>
    <row r="167">
      <c r="A167" s="5" t="n">
        <v>25</v>
      </c>
      <c r="B167" s="5" t="n">
        <v>0.0668</v>
      </c>
    </row>
    <row r="168">
      <c r="A168" s="5" t="n">
        <v>26</v>
      </c>
      <c r="B168" s="5" t="n">
        <v>0.0204</v>
      </c>
    </row>
    <row r="169">
      <c r="A169" s="5" t="n">
        <v>27</v>
      </c>
      <c r="B169" s="5" t="n">
        <v>0.0108</v>
      </c>
    </row>
    <row r="170">
      <c r="A170" s="5" t="n">
        <v>28</v>
      </c>
      <c r="B170" s="5" t="n">
        <v>0.0738</v>
      </c>
    </row>
    <row r="171">
      <c r="A171" s="5" t="n">
        <v>29</v>
      </c>
      <c r="B171" s="5" t="n">
        <v>0.0575</v>
      </c>
    </row>
    <row r="172">
      <c r="A172" s="5" t="n">
        <v>30</v>
      </c>
      <c r="B172" s="5" t="n">
        <v>0.0124</v>
      </c>
    </row>
    <row r="173">
      <c r="A173" s="5" t="n">
        <v>31</v>
      </c>
      <c r="B173" s="5" t="n">
        <v>-0.0057</v>
      </c>
    </row>
    <row r="174">
      <c r="A174" s="5" t="n">
        <v>32</v>
      </c>
      <c r="B174" s="5" t="n">
        <v>-0.0025</v>
      </c>
    </row>
    <row r="175">
      <c r="A175" s="5" t="n">
        <v>33</v>
      </c>
      <c r="B175" s="5" t="n">
        <v>0.07290000000000001</v>
      </c>
    </row>
    <row r="176">
      <c r="A176" s="5" t="n">
        <v>34</v>
      </c>
      <c r="B176" s="5" t="n">
        <v>0.0052</v>
      </c>
    </row>
    <row r="177">
      <c r="A177" s="5" t="n">
        <v>35</v>
      </c>
      <c r="B177" s="5" t="n">
        <v>-0.0069</v>
      </c>
    </row>
    <row r="178">
      <c r="A178" s="5" t="n">
        <v>36</v>
      </c>
      <c r="B178" s="5" t="n">
        <v>0.06610000000000001</v>
      </c>
    </row>
  </sheetData>
  <mergeCells count="8">
    <mergeCell ref="A2:F2"/>
    <mergeCell ref="A11:F11"/>
    <mergeCell ref="A14:F14"/>
    <mergeCell ref="A1:F1"/>
    <mergeCell ref="A8:F8"/>
    <mergeCell ref="A141:B141"/>
    <mergeCell ref="A4:F4"/>
    <mergeCell ref="A17:B1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7" t="inlineStr">
        <is>
          <t>🔄 PHASE 6 : ANALYSES MATRICIELLES</t>
        </is>
      </c>
    </row>
    <row r="2">
      <c r="A2" s="8" t="inlineStr">
        <is>
          <t>⏱️ Durée : 10 min | 🎯 Points : 200</t>
        </is>
      </c>
    </row>
    <row r="4">
      <c r="A4" s="23" t="inlineStr">
        <is>
          <t>🎯 CONTEXTE : Analyse des corrélations entre produits et tendances clients</t>
        </is>
      </c>
    </row>
    <row r="6">
      <c r="A6" s="9" t="inlineStr">
        <is>
          <t>🎯 EXERCICES</t>
        </is>
      </c>
    </row>
    <row r="7">
      <c r="A7" t="inlineStr">
        <is>
          <t>Ex1 (100 pts) : Linéariser la matrice produits-clients pour analyses statistiques</t>
        </is>
      </c>
    </row>
    <row r="8">
      <c r="A8" s="13" t="inlineStr">
        <is>
          <t>Formule : =TOCOL(Table_Achats_Clients)</t>
        </is>
      </c>
    </row>
    <row r="10">
      <c r="A10" t="inlineStr">
        <is>
          <t>Ex2 (100 pts) : Pivoter le CA mensuel par produit (produits en lignes, mois en colonnes)</t>
        </is>
      </c>
    </row>
    <row r="11">
      <c r="A11" s="13" t="inlineStr">
        <is>
          <t>Formule : =TRANSPOSE(Table_CA_Mensuel)</t>
        </is>
      </c>
    </row>
    <row r="14">
      <c r="A14" s="15" t="inlineStr">
        <is>
          <t>🛒 MATRICE ACHATS CLIENTS (25 clients × 12 produits)</t>
        </is>
      </c>
    </row>
    <row r="15">
      <c r="A15" s="24" t="inlineStr"/>
      <c r="B15" s="16" t="inlineStr">
        <is>
          <t>Laptop</t>
        </is>
      </c>
      <c r="C15" s="16" t="inlineStr">
        <is>
          <t>Écran</t>
        </is>
      </c>
      <c r="D15" s="16" t="inlineStr">
        <is>
          <t>Souris</t>
        </is>
      </c>
      <c r="E15" s="16" t="inlineStr">
        <is>
          <t>Clavier</t>
        </is>
      </c>
      <c r="F15" s="16" t="inlineStr">
        <is>
          <t>Webcam</t>
        </is>
      </c>
      <c r="G15" s="16" t="inlineStr">
        <is>
          <t>Casque</t>
        </is>
      </c>
      <c r="H15" s="16" t="inlineStr">
        <is>
          <t>Imprimante</t>
        </is>
      </c>
      <c r="I15" s="16" t="inlineStr">
        <is>
          <t>Scanner</t>
        </is>
      </c>
      <c r="J15" s="16" t="inlineStr">
        <is>
          <t>Tablette</t>
        </is>
      </c>
      <c r="K15" s="16" t="inlineStr">
        <is>
          <t>SSD</t>
        </is>
      </c>
      <c r="L15" s="16" t="inlineStr">
        <is>
          <t>Routeur</t>
        </is>
      </c>
      <c r="M15" s="16" t="inlineStr">
        <is>
          <t>Switch</t>
        </is>
      </c>
    </row>
    <row r="16">
      <c r="A16" s="4" t="inlineStr">
        <is>
          <t>C01</t>
        </is>
      </c>
      <c r="B16" s="5" t="n">
        <v>2</v>
      </c>
      <c r="C16" s="5" t="n">
        <v>8</v>
      </c>
      <c r="D16" s="5" t="n">
        <v>15</v>
      </c>
      <c r="E16" s="5" t="n">
        <v>15</v>
      </c>
      <c r="F16" s="5" t="n">
        <v>8</v>
      </c>
      <c r="G16" s="5" t="n">
        <v>0</v>
      </c>
      <c r="H16" s="5" t="n">
        <v>14</v>
      </c>
      <c r="I16" s="5" t="n">
        <v>9</v>
      </c>
      <c r="J16" s="5" t="n">
        <v>8</v>
      </c>
      <c r="K16" s="5" t="n">
        <v>0</v>
      </c>
      <c r="L16" s="5" t="n">
        <v>11</v>
      </c>
      <c r="M16" s="5" t="n">
        <v>6</v>
      </c>
    </row>
    <row r="17">
      <c r="A17" s="4" t="inlineStr">
        <is>
          <t>C02</t>
        </is>
      </c>
      <c r="B17" s="5" t="n">
        <v>2</v>
      </c>
      <c r="C17" s="5" t="n">
        <v>1</v>
      </c>
      <c r="D17" s="5" t="n">
        <v>15</v>
      </c>
      <c r="E17" s="5" t="n">
        <v>4</v>
      </c>
      <c r="F17" s="5" t="n">
        <v>11</v>
      </c>
      <c r="G17" s="5" t="n">
        <v>0</v>
      </c>
      <c r="H17" s="5" t="n">
        <v>13</v>
      </c>
      <c r="I17" s="5" t="n">
        <v>14</v>
      </c>
      <c r="J17" s="5" t="n">
        <v>15</v>
      </c>
      <c r="K17" s="5" t="n">
        <v>12</v>
      </c>
      <c r="L17" s="5" t="n">
        <v>15</v>
      </c>
      <c r="M17" s="5" t="n">
        <v>10</v>
      </c>
    </row>
    <row r="18">
      <c r="A18" s="4" t="inlineStr">
        <is>
          <t>C03</t>
        </is>
      </c>
      <c r="B18" s="5" t="n">
        <v>5</v>
      </c>
      <c r="C18" s="5" t="n">
        <v>10</v>
      </c>
      <c r="D18" s="5" t="n">
        <v>10</v>
      </c>
      <c r="E18" s="5" t="n">
        <v>5</v>
      </c>
      <c r="F18" s="5" t="n">
        <v>9</v>
      </c>
      <c r="G18" s="5" t="n">
        <v>6</v>
      </c>
      <c r="H18" s="5" t="n">
        <v>12</v>
      </c>
      <c r="I18" s="5" t="n">
        <v>2</v>
      </c>
      <c r="J18" s="5" t="n">
        <v>1</v>
      </c>
      <c r="K18" s="5" t="n">
        <v>3</v>
      </c>
      <c r="L18" s="5" t="n">
        <v>11</v>
      </c>
      <c r="M18" s="5" t="n">
        <v>4</v>
      </c>
    </row>
    <row r="19">
      <c r="A19" s="4" t="inlineStr">
        <is>
          <t>C04</t>
        </is>
      </c>
      <c r="B19" s="5" t="n">
        <v>13</v>
      </c>
      <c r="C19" s="5" t="n">
        <v>9</v>
      </c>
      <c r="D19" s="5" t="n">
        <v>11</v>
      </c>
      <c r="E19" s="5" t="n">
        <v>9</v>
      </c>
      <c r="F19" s="5" t="n">
        <v>5</v>
      </c>
      <c r="G19" s="5" t="n">
        <v>9</v>
      </c>
      <c r="H19" s="5" t="n">
        <v>4</v>
      </c>
      <c r="I19" s="5" t="n">
        <v>8</v>
      </c>
      <c r="J19" s="5" t="n">
        <v>14</v>
      </c>
      <c r="K19" s="5" t="n">
        <v>15</v>
      </c>
      <c r="L19" s="5" t="n">
        <v>5</v>
      </c>
      <c r="M19" s="5" t="n">
        <v>13</v>
      </c>
    </row>
    <row r="20">
      <c r="A20" s="4" t="inlineStr">
        <is>
          <t>C05</t>
        </is>
      </c>
      <c r="B20" s="5" t="n">
        <v>7</v>
      </c>
      <c r="C20" s="5" t="n">
        <v>9</v>
      </c>
      <c r="D20" s="5" t="n">
        <v>13</v>
      </c>
      <c r="E20" s="5" t="n">
        <v>10</v>
      </c>
      <c r="F20" s="5" t="n">
        <v>13</v>
      </c>
      <c r="G20" s="5" t="n">
        <v>8</v>
      </c>
      <c r="H20" s="5" t="n">
        <v>6</v>
      </c>
      <c r="I20" s="5" t="n">
        <v>13</v>
      </c>
      <c r="J20" s="5" t="n">
        <v>8</v>
      </c>
      <c r="K20" s="5" t="n">
        <v>12</v>
      </c>
      <c r="L20" s="5" t="n">
        <v>5</v>
      </c>
      <c r="M20" s="5" t="n">
        <v>2</v>
      </c>
    </row>
    <row r="21">
      <c r="A21" s="4" t="inlineStr">
        <is>
          <t>C06</t>
        </is>
      </c>
      <c r="B21" s="5" t="n">
        <v>5</v>
      </c>
      <c r="C21" s="5" t="n">
        <v>1</v>
      </c>
      <c r="D21" s="5" t="n">
        <v>9</v>
      </c>
      <c r="E21" s="5" t="n">
        <v>9</v>
      </c>
      <c r="F21" s="5" t="n">
        <v>9</v>
      </c>
      <c r="G21" s="5" t="n">
        <v>13</v>
      </c>
      <c r="H21" s="5" t="n">
        <v>12</v>
      </c>
      <c r="I21" s="5" t="n">
        <v>1</v>
      </c>
      <c r="J21" s="5" t="n">
        <v>0</v>
      </c>
      <c r="K21" s="5" t="n">
        <v>3</v>
      </c>
      <c r="L21" s="5" t="n">
        <v>2</v>
      </c>
      <c r="M21" s="5" t="n">
        <v>10</v>
      </c>
    </row>
    <row r="22">
      <c r="A22" s="4" t="inlineStr">
        <is>
          <t>C07</t>
        </is>
      </c>
      <c r="B22" s="5" t="n">
        <v>12</v>
      </c>
      <c r="C22" s="5" t="n">
        <v>12</v>
      </c>
      <c r="D22" s="5" t="n">
        <v>5</v>
      </c>
      <c r="E22" s="5" t="n">
        <v>11</v>
      </c>
      <c r="F22" s="5" t="n">
        <v>9</v>
      </c>
      <c r="G22" s="5" t="n">
        <v>4</v>
      </c>
      <c r="H22" s="5" t="n">
        <v>3</v>
      </c>
      <c r="I22" s="5" t="n">
        <v>6</v>
      </c>
      <c r="J22" s="5" t="n">
        <v>13</v>
      </c>
      <c r="K22" s="5" t="n">
        <v>0</v>
      </c>
      <c r="L22" s="5" t="n">
        <v>1</v>
      </c>
      <c r="M22" s="5" t="n">
        <v>14</v>
      </c>
    </row>
    <row r="23">
      <c r="A23" s="4" t="inlineStr">
        <is>
          <t>C08</t>
        </is>
      </c>
      <c r="B23" s="5" t="n">
        <v>1</v>
      </c>
      <c r="C23" s="5" t="n">
        <v>13</v>
      </c>
      <c r="D23" s="5" t="n">
        <v>6</v>
      </c>
      <c r="E23" s="5" t="n">
        <v>6</v>
      </c>
      <c r="F23" s="5" t="n">
        <v>10</v>
      </c>
      <c r="G23" s="5" t="n">
        <v>14</v>
      </c>
      <c r="H23" s="5" t="n">
        <v>5</v>
      </c>
      <c r="I23" s="5" t="n">
        <v>12</v>
      </c>
      <c r="J23" s="5" t="n">
        <v>9</v>
      </c>
      <c r="K23" s="5" t="n">
        <v>2</v>
      </c>
      <c r="L23" s="5" t="n">
        <v>10</v>
      </c>
      <c r="M23" s="5" t="n">
        <v>9</v>
      </c>
    </row>
    <row r="24">
      <c r="A24" s="4" t="inlineStr">
        <is>
          <t>C09</t>
        </is>
      </c>
      <c r="B24" s="5" t="n">
        <v>8</v>
      </c>
      <c r="C24" s="5" t="n">
        <v>7</v>
      </c>
      <c r="D24" s="5" t="n">
        <v>3</v>
      </c>
      <c r="E24" s="5" t="n">
        <v>6</v>
      </c>
      <c r="F24" s="5" t="n">
        <v>15</v>
      </c>
      <c r="G24" s="5" t="n">
        <v>6</v>
      </c>
      <c r="H24" s="5" t="n">
        <v>11</v>
      </c>
      <c r="I24" s="5" t="n">
        <v>4</v>
      </c>
      <c r="J24" s="5" t="n">
        <v>0</v>
      </c>
      <c r="K24" s="5" t="n">
        <v>9</v>
      </c>
      <c r="L24" s="5" t="n">
        <v>7</v>
      </c>
      <c r="M24" s="5" t="n">
        <v>14</v>
      </c>
    </row>
    <row r="25">
      <c r="A25" s="4" t="inlineStr">
        <is>
          <t>C10</t>
        </is>
      </c>
      <c r="B25" s="5" t="n">
        <v>3</v>
      </c>
      <c r="C25" s="5" t="n">
        <v>1</v>
      </c>
      <c r="D25" s="5" t="n">
        <v>12</v>
      </c>
      <c r="E25" s="5" t="n">
        <v>7</v>
      </c>
      <c r="F25" s="5" t="n">
        <v>10</v>
      </c>
      <c r="G25" s="5" t="n">
        <v>13</v>
      </c>
      <c r="H25" s="5" t="n">
        <v>6</v>
      </c>
      <c r="I25" s="5" t="n">
        <v>0</v>
      </c>
      <c r="J25" s="5" t="n">
        <v>2</v>
      </c>
      <c r="K25" s="5" t="n">
        <v>7</v>
      </c>
      <c r="L25" s="5" t="n">
        <v>9</v>
      </c>
      <c r="M25" s="5" t="n">
        <v>4</v>
      </c>
    </row>
    <row r="26">
      <c r="A26" s="4" t="inlineStr">
        <is>
          <t>C11</t>
        </is>
      </c>
      <c r="B26" s="5" t="n">
        <v>6</v>
      </c>
      <c r="C26" s="5" t="n">
        <v>0</v>
      </c>
      <c r="D26" s="5" t="n">
        <v>15</v>
      </c>
      <c r="E26" s="5" t="n">
        <v>3</v>
      </c>
      <c r="F26" s="5" t="n">
        <v>2</v>
      </c>
      <c r="G26" s="5" t="n">
        <v>1</v>
      </c>
      <c r="H26" s="5" t="n">
        <v>1</v>
      </c>
      <c r="I26" s="5" t="n">
        <v>14</v>
      </c>
      <c r="J26" s="5" t="n">
        <v>12</v>
      </c>
      <c r="K26" s="5" t="n">
        <v>0</v>
      </c>
      <c r="L26" s="5" t="n">
        <v>2</v>
      </c>
      <c r="M26" s="5" t="n">
        <v>15</v>
      </c>
    </row>
    <row r="27">
      <c r="A27" s="4" t="inlineStr">
        <is>
          <t>C12</t>
        </is>
      </c>
      <c r="B27" s="5" t="n">
        <v>15</v>
      </c>
      <c r="C27" s="5" t="n">
        <v>13</v>
      </c>
      <c r="D27" s="5" t="n">
        <v>6</v>
      </c>
      <c r="E27" s="5" t="n">
        <v>7</v>
      </c>
      <c r="F27" s="5" t="n">
        <v>2</v>
      </c>
      <c r="G27" s="5" t="n">
        <v>9</v>
      </c>
      <c r="H27" s="5" t="n">
        <v>3</v>
      </c>
      <c r="I27" s="5" t="n">
        <v>7</v>
      </c>
      <c r="J27" s="5" t="n">
        <v>15</v>
      </c>
      <c r="K27" s="5" t="n">
        <v>7</v>
      </c>
      <c r="L27" s="5" t="n">
        <v>2</v>
      </c>
      <c r="M27" s="5" t="n">
        <v>8</v>
      </c>
    </row>
    <row r="28">
      <c r="A28" s="4" t="inlineStr">
        <is>
          <t>C13</t>
        </is>
      </c>
      <c r="B28" s="5" t="n">
        <v>10</v>
      </c>
      <c r="C28" s="5" t="n">
        <v>8</v>
      </c>
      <c r="D28" s="5" t="n">
        <v>11</v>
      </c>
      <c r="E28" s="5" t="n">
        <v>0</v>
      </c>
      <c r="F28" s="5" t="n">
        <v>15</v>
      </c>
      <c r="G28" s="5" t="n">
        <v>1</v>
      </c>
      <c r="H28" s="5" t="n">
        <v>7</v>
      </c>
      <c r="I28" s="5" t="n">
        <v>8</v>
      </c>
      <c r="J28" s="5" t="n">
        <v>8</v>
      </c>
      <c r="K28" s="5" t="n">
        <v>10</v>
      </c>
      <c r="L28" s="5" t="n">
        <v>6</v>
      </c>
      <c r="M28" s="5" t="n">
        <v>2</v>
      </c>
    </row>
    <row r="29">
      <c r="A29" s="4" t="inlineStr">
        <is>
          <t>C14</t>
        </is>
      </c>
      <c r="B29" s="5" t="n">
        <v>12</v>
      </c>
      <c r="C29" s="5" t="n">
        <v>4</v>
      </c>
      <c r="D29" s="5" t="n">
        <v>6</v>
      </c>
      <c r="E29" s="5" t="n">
        <v>11</v>
      </c>
      <c r="F29" s="5" t="n">
        <v>9</v>
      </c>
      <c r="G29" s="5" t="n">
        <v>11</v>
      </c>
      <c r="H29" s="5" t="n">
        <v>7</v>
      </c>
      <c r="I29" s="5" t="n">
        <v>3</v>
      </c>
      <c r="J29" s="5" t="n">
        <v>14</v>
      </c>
      <c r="K29" s="5" t="n">
        <v>2</v>
      </c>
      <c r="L29" s="5" t="n">
        <v>15</v>
      </c>
      <c r="M29" s="5" t="n">
        <v>3</v>
      </c>
    </row>
    <row r="30">
      <c r="A30" s="4" t="inlineStr">
        <is>
          <t>C15</t>
        </is>
      </c>
      <c r="B30" s="5" t="n">
        <v>4</v>
      </c>
      <c r="C30" s="5" t="n">
        <v>0</v>
      </c>
      <c r="D30" s="5" t="n">
        <v>8</v>
      </c>
      <c r="E30" s="5" t="n">
        <v>0</v>
      </c>
      <c r="F30" s="5" t="n">
        <v>6</v>
      </c>
      <c r="G30" s="5" t="n">
        <v>11</v>
      </c>
      <c r="H30" s="5" t="n">
        <v>3</v>
      </c>
      <c r="I30" s="5" t="n">
        <v>9</v>
      </c>
      <c r="J30" s="5" t="n">
        <v>1</v>
      </c>
      <c r="K30" s="5" t="n">
        <v>10</v>
      </c>
      <c r="L30" s="5" t="n">
        <v>2</v>
      </c>
      <c r="M30" s="5" t="n">
        <v>9</v>
      </c>
    </row>
    <row r="31">
      <c r="A31" s="4" t="inlineStr">
        <is>
          <t>C16</t>
        </is>
      </c>
      <c r="B31" s="5" t="n">
        <v>13</v>
      </c>
      <c r="C31" s="5" t="n">
        <v>8</v>
      </c>
      <c r="D31" s="5" t="n">
        <v>8</v>
      </c>
      <c r="E31" s="5" t="n">
        <v>9</v>
      </c>
      <c r="F31" s="5" t="n">
        <v>3</v>
      </c>
      <c r="G31" s="5" t="n">
        <v>5</v>
      </c>
      <c r="H31" s="5" t="n">
        <v>11</v>
      </c>
      <c r="I31" s="5" t="n">
        <v>0</v>
      </c>
      <c r="J31" s="5" t="n">
        <v>15</v>
      </c>
      <c r="K31" s="5" t="n">
        <v>2</v>
      </c>
      <c r="L31" s="5" t="n">
        <v>14</v>
      </c>
      <c r="M31" s="5" t="n">
        <v>11</v>
      </c>
    </row>
    <row r="32">
      <c r="A32" s="4" t="inlineStr">
        <is>
          <t>C17</t>
        </is>
      </c>
      <c r="B32" s="5" t="n">
        <v>2</v>
      </c>
      <c r="C32" s="5" t="n">
        <v>5</v>
      </c>
      <c r="D32" s="5" t="n">
        <v>12</v>
      </c>
      <c r="E32" s="5" t="n">
        <v>1</v>
      </c>
      <c r="F32" s="5" t="n">
        <v>1</v>
      </c>
      <c r="G32" s="5" t="n">
        <v>8</v>
      </c>
      <c r="H32" s="5" t="n">
        <v>15</v>
      </c>
      <c r="I32" s="5" t="n">
        <v>9</v>
      </c>
      <c r="J32" s="5" t="n">
        <v>3</v>
      </c>
      <c r="K32" s="5" t="n">
        <v>12</v>
      </c>
      <c r="L32" s="5" t="n">
        <v>10</v>
      </c>
      <c r="M32" s="5" t="n">
        <v>0</v>
      </c>
    </row>
    <row r="33">
      <c r="A33" s="4" t="inlineStr">
        <is>
          <t>C18</t>
        </is>
      </c>
      <c r="B33" s="5" t="n">
        <v>8</v>
      </c>
      <c r="C33" s="5" t="n">
        <v>14</v>
      </c>
      <c r="D33" s="5" t="n">
        <v>10</v>
      </c>
      <c r="E33" s="5" t="n">
        <v>11</v>
      </c>
      <c r="F33" s="5" t="n">
        <v>7</v>
      </c>
      <c r="G33" s="5" t="n">
        <v>9</v>
      </c>
      <c r="H33" s="5" t="n">
        <v>9</v>
      </c>
      <c r="I33" s="5" t="n">
        <v>9</v>
      </c>
      <c r="J33" s="5" t="n">
        <v>0</v>
      </c>
      <c r="K33" s="5" t="n">
        <v>14</v>
      </c>
      <c r="L33" s="5" t="n">
        <v>6</v>
      </c>
      <c r="M33" s="5" t="n">
        <v>4</v>
      </c>
    </row>
    <row r="34">
      <c r="A34" s="4" t="inlineStr">
        <is>
          <t>C19</t>
        </is>
      </c>
      <c r="B34" s="5" t="n">
        <v>1</v>
      </c>
      <c r="C34" s="5" t="n">
        <v>9</v>
      </c>
      <c r="D34" s="5" t="n">
        <v>7</v>
      </c>
      <c r="E34" s="5" t="n">
        <v>1</v>
      </c>
      <c r="F34" s="5" t="n">
        <v>15</v>
      </c>
      <c r="G34" s="5" t="n">
        <v>7</v>
      </c>
      <c r="H34" s="5" t="n">
        <v>0</v>
      </c>
      <c r="I34" s="5" t="n">
        <v>15</v>
      </c>
      <c r="J34" s="5" t="n">
        <v>12</v>
      </c>
      <c r="K34" s="5" t="n">
        <v>8</v>
      </c>
      <c r="L34" s="5" t="n">
        <v>12</v>
      </c>
      <c r="M34" s="5" t="n">
        <v>1</v>
      </c>
    </row>
    <row r="35">
      <c r="A35" s="4" t="inlineStr">
        <is>
          <t>C20</t>
        </is>
      </c>
      <c r="B35" s="5" t="n">
        <v>15</v>
      </c>
      <c r="C35" s="5" t="n">
        <v>9</v>
      </c>
      <c r="D35" s="5" t="n">
        <v>4</v>
      </c>
      <c r="E35" s="5" t="n">
        <v>11</v>
      </c>
      <c r="F35" s="5" t="n">
        <v>12</v>
      </c>
      <c r="G35" s="5" t="n">
        <v>3</v>
      </c>
      <c r="H35" s="5" t="n">
        <v>15</v>
      </c>
      <c r="I35" s="5" t="n">
        <v>2</v>
      </c>
      <c r="J35" s="5" t="n">
        <v>4</v>
      </c>
      <c r="K35" s="5" t="n">
        <v>0</v>
      </c>
      <c r="L35" s="5" t="n">
        <v>12</v>
      </c>
      <c r="M35" s="5" t="n">
        <v>13</v>
      </c>
    </row>
    <row r="36">
      <c r="A36" s="4" t="inlineStr">
        <is>
          <t>C21</t>
        </is>
      </c>
      <c r="B36" s="5" t="n">
        <v>12</v>
      </c>
      <c r="C36" s="5" t="n">
        <v>5</v>
      </c>
      <c r="D36" s="5" t="n">
        <v>8</v>
      </c>
      <c r="E36" s="5" t="n">
        <v>11</v>
      </c>
      <c r="F36" s="5" t="n">
        <v>15</v>
      </c>
      <c r="G36" s="5" t="n">
        <v>9</v>
      </c>
      <c r="H36" s="5" t="n">
        <v>3</v>
      </c>
      <c r="I36" s="5" t="n">
        <v>15</v>
      </c>
      <c r="J36" s="5" t="n">
        <v>0</v>
      </c>
      <c r="K36" s="5" t="n">
        <v>13</v>
      </c>
      <c r="L36" s="5" t="n">
        <v>4</v>
      </c>
      <c r="M36" s="5" t="n">
        <v>7</v>
      </c>
    </row>
    <row r="37">
      <c r="A37" s="4" t="inlineStr">
        <is>
          <t>C22</t>
        </is>
      </c>
      <c r="B37" s="5" t="n">
        <v>4</v>
      </c>
      <c r="C37" s="5" t="n">
        <v>4</v>
      </c>
      <c r="D37" s="5" t="n">
        <v>8</v>
      </c>
      <c r="E37" s="5" t="n">
        <v>9</v>
      </c>
      <c r="F37" s="5" t="n">
        <v>14</v>
      </c>
      <c r="G37" s="5" t="n">
        <v>11</v>
      </c>
      <c r="H37" s="5" t="n">
        <v>0</v>
      </c>
      <c r="I37" s="5" t="n">
        <v>5</v>
      </c>
      <c r="J37" s="5" t="n">
        <v>4</v>
      </c>
      <c r="K37" s="5" t="n">
        <v>1</v>
      </c>
      <c r="L37" s="5" t="n">
        <v>11</v>
      </c>
      <c r="M37" s="5" t="n">
        <v>4</v>
      </c>
    </row>
    <row r="38">
      <c r="A38" s="4" t="inlineStr">
        <is>
          <t>C23</t>
        </is>
      </c>
      <c r="B38" s="5" t="n">
        <v>4</v>
      </c>
      <c r="C38" s="5" t="n">
        <v>11</v>
      </c>
      <c r="D38" s="5" t="n">
        <v>9</v>
      </c>
      <c r="E38" s="5" t="n">
        <v>13</v>
      </c>
      <c r="F38" s="5" t="n">
        <v>1</v>
      </c>
      <c r="G38" s="5" t="n">
        <v>10</v>
      </c>
      <c r="H38" s="5" t="n">
        <v>15</v>
      </c>
      <c r="I38" s="5" t="n">
        <v>13</v>
      </c>
      <c r="J38" s="5" t="n">
        <v>11</v>
      </c>
      <c r="K38" s="5" t="n">
        <v>12</v>
      </c>
      <c r="L38" s="5" t="n">
        <v>10</v>
      </c>
      <c r="M38" s="5" t="n">
        <v>1</v>
      </c>
    </row>
    <row r="39">
      <c r="A39" s="4" t="inlineStr">
        <is>
          <t>C24</t>
        </is>
      </c>
      <c r="B39" s="5" t="n">
        <v>3</v>
      </c>
      <c r="C39" s="5" t="n">
        <v>6</v>
      </c>
      <c r="D39" s="5" t="n">
        <v>6</v>
      </c>
      <c r="E39" s="5" t="n">
        <v>3</v>
      </c>
      <c r="F39" s="5" t="n">
        <v>15</v>
      </c>
      <c r="G39" s="5" t="n">
        <v>12</v>
      </c>
      <c r="H39" s="5" t="n">
        <v>3</v>
      </c>
      <c r="I39" s="5" t="n">
        <v>1</v>
      </c>
      <c r="J39" s="5" t="n">
        <v>7</v>
      </c>
      <c r="K39" s="5" t="n">
        <v>1</v>
      </c>
      <c r="L39" s="5" t="n">
        <v>11</v>
      </c>
      <c r="M39" s="5" t="n">
        <v>4</v>
      </c>
    </row>
    <row r="40">
      <c r="A40" s="4" t="inlineStr">
        <is>
          <t>C25</t>
        </is>
      </c>
      <c r="B40" s="5" t="n">
        <v>0</v>
      </c>
      <c r="C40" s="5" t="n">
        <v>6</v>
      </c>
      <c r="D40" s="5" t="n">
        <v>7</v>
      </c>
      <c r="E40" s="5" t="n">
        <v>15</v>
      </c>
      <c r="F40" s="5" t="n">
        <v>7</v>
      </c>
      <c r="G40" s="5" t="n">
        <v>8</v>
      </c>
      <c r="H40" s="5" t="n">
        <v>9</v>
      </c>
      <c r="I40" s="5" t="n">
        <v>8</v>
      </c>
      <c r="J40" s="5" t="n">
        <v>13</v>
      </c>
      <c r="K40" s="5" t="n">
        <v>14</v>
      </c>
      <c r="L40" s="5" t="n">
        <v>3</v>
      </c>
      <c r="M40" s="5" t="n">
        <v>14</v>
      </c>
    </row>
    <row r="43">
      <c r="A43" s="15" t="inlineStr">
        <is>
          <t>💵 CA MENSUEL PAR PRODUIT (12 produits × 12 mois)</t>
        </is>
      </c>
    </row>
    <row r="44">
      <c r="A44" s="24" t="inlineStr"/>
      <c r="B44" s="4" t="inlineStr">
        <is>
          <t>Jan</t>
        </is>
      </c>
      <c r="C44" s="4" t="inlineStr">
        <is>
          <t>Fev</t>
        </is>
      </c>
      <c r="D44" s="4" t="inlineStr">
        <is>
          <t>Mar</t>
        </is>
      </c>
      <c r="E44" s="4" t="inlineStr">
        <is>
          <t>Avr</t>
        </is>
      </c>
      <c r="F44" s="4" t="inlineStr">
        <is>
          <t>Mai</t>
        </is>
      </c>
      <c r="G44" s="4" t="inlineStr">
        <is>
          <t>Jun</t>
        </is>
      </c>
      <c r="H44" s="4" t="inlineStr">
        <is>
          <t>Jul</t>
        </is>
      </c>
      <c r="I44" s="4" t="inlineStr">
        <is>
          <t>Aou</t>
        </is>
      </c>
      <c r="J44" s="4" t="inlineStr">
        <is>
          <t>Sep</t>
        </is>
      </c>
      <c r="K44" s="4" t="inlineStr">
        <is>
          <t>Oct</t>
        </is>
      </c>
      <c r="L44" s="4" t="inlineStr">
        <is>
          <t>Nov</t>
        </is>
      </c>
      <c r="M44" s="4" t="inlineStr">
        <is>
          <t>Dec</t>
        </is>
      </c>
    </row>
    <row r="45">
      <c r="A45" s="4" t="inlineStr">
        <is>
          <t>Laptop</t>
        </is>
      </c>
      <c r="B45" s="5" t="n">
        <v>32209</v>
      </c>
      <c r="C45" s="5" t="n">
        <v>43116</v>
      </c>
      <c r="D45" s="5" t="n">
        <v>57515</v>
      </c>
      <c r="E45" s="5" t="n">
        <v>80602</v>
      </c>
      <c r="F45" s="5" t="n">
        <v>111860</v>
      </c>
      <c r="G45" s="5" t="n">
        <v>131007</v>
      </c>
      <c r="H45" s="5" t="n">
        <v>89908</v>
      </c>
      <c r="I45" s="5" t="n">
        <v>135673</v>
      </c>
      <c r="J45" s="5" t="n">
        <v>60546</v>
      </c>
      <c r="K45" s="5" t="n">
        <v>29193</v>
      </c>
      <c r="L45" s="5" t="n">
        <v>78451</v>
      </c>
      <c r="M45" s="5" t="n">
        <v>148964</v>
      </c>
    </row>
    <row r="46">
      <c r="A46" s="4" t="inlineStr">
        <is>
          <t>Écran</t>
        </is>
      </c>
      <c r="B46" s="5" t="n">
        <v>77476</v>
      </c>
      <c r="C46" s="5" t="n">
        <v>47304</v>
      </c>
      <c r="D46" s="5" t="n">
        <v>24982</v>
      </c>
      <c r="E46" s="5" t="n">
        <v>146886</v>
      </c>
      <c r="F46" s="5" t="n">
        <v>20118</v>
      </c>
      <c r="G46" s="5" t="n">
        <v>47803</v>
      </c>
      <c r="H46" s="5" t="n">
        <v>51705</v>
      </c>
      <c r="I46" s="5" t="n">
        <v>130618</v>
      </c>
      <c r="J46" s="5" t="n">
        <v>141425</v>
      </c>
      <c r="K46" s="5" t="n">
        <v>66318</v>
      </c>
      <c r="L46" s="5" t="n">
        <v>132960</v>
      </c>
      <c r="M46" s="5" t="n">
        <v>23419</v>
      </c>
    </row>
    <row r="47">
      <c r="A47" s="4" t="inlineStr">
        <is>
          <t>Souris</t>
        </is>
      </c>
      <c r="B47" s="5" t="n">
        <v>116874</v>
      </c>
      <c r="C47" s="5" t="n">
        <v>135007</v>
      </c>
      <c r="D47" s="5" t="n">
        <v>124734</v>
      </c>
      <c r="E47" s="5" t="n">
        <v>104061</v>
      </c>
      <c r="F47" s="5" t="n">
        <v>35797</v>
      </c>
      <c r="G47" s="5" t="n">
        <v>117142</v>
      </c>
      <c r="H47" s="5" t="n">
        <v>24728</v>
      </c>
      <c r="I47" s="5" t="n">
        <v>130420</v>
      </c>
      <c r="J47" s="5" t="n">
        <v>75549</v>
      </c>
      <c r="K47" s="5" t="n">
        <v>64443</v>
      </c>
      <c r="L47" s="5" t="n">
        <v>129693</v>
      </c>
      <c r="M47" s="5" t="n">
        <v>78312</v>
      </c>
    </row>
    <row r="48">
      <c r="A48" s="4" t="inlineStr">
        <is>
          <t>Clavier</t>
        </is>
      </c>
      <c r="B48" s="5" t="n">
        <v>113795</v>
      </c>
      <c r="C48" s="5" t="n">
        <v>109634</v>
      </c>
      <c r="D48" s="5" t="n">
        <v>89712</v>
      </c>
      <c r="E48" s="5" t="n">
        <v>89292</v>
      </c>
      <c r="F48" s="5" t="n">
        <v>77037</v>
      </c>
      <c r="G48" s="5" t="n">
        <v>80769</v>
      </c>
      <c r="H48" s="5" t="n">
        <v>104387</v>
      </c>
      <c r="I48" s="5" t="n">
        <v>58963</v>
      </c>
      <c r="J48" s="5" t="n">
        <v>63044</v>
      </c>
      <c r="K48" s="5" t="n">
        <v>23158</v>
      </c>
      <c r="L48" s="5" t="n">
        <v>52635</v>
      </c>
      <c r="M48" s="5" t="n">
        <v>103045</v>
      </c>
    </row>
    <row r="49">
      <c r="A49" s="4" t="inlineStr">
        <is>
          <t>Webcam</t>
        </is>
      </c>
      <c r="B49" s="5" t="n">
        <v>101904</v>
      </c>
      <c r="C49" s="5" t="n">
        <v>35417</v>
      </c>
      <c r="D49" s="5" t="n">
        <v>145590</v>
      </c>
      <c r="E49" s="5" t="n">
        <v>60901</v>
      </c>
      <c r="F49" s="5" t="n">
        <v>131239</v>
      </c>
      <c r="G49" s="5" t="n">
        <v>95143</v>
      </c>
      <c r="H49" s="5" t="n">
        <v>49954</v>
      </c>
      <c r="I49" s="5" t="n">
        <v>43343</v>
      </c>
      <c r="J49" s="5" t="n">
        <v>58926</v>
      </c>
      <c r="K49" s="5" t="n">
        <v>121745</v>
      </c>
      <c r="L49" s="5" t="n">
        <v>38300</v>
      </c>
      <c r="M49" s="5" t="n">
        <v>91234</v>
      </c>
    </row>
    <row r="50">
      <c r="A50" s="4" t="inlineStr">
        <is>
          <t>Casque</t>
        </is>
      </c>
      <c r="B50" s="5" t="n">
        <v>89983</v>
      </c>
      <c r="C50" s="5" t="n">
        <v>50310</v>
      </c>
      <c r="D50" s="5" t="n">
        <v>103671</v>
      </c>
      <c r="E50" s="5" t="n">
        <v>133004</v>
      </c>
      <c r="F50" s="5" t="n">
        <v>95904</v>
      </c>
      <c r="G50" s="5" t="n">
        <v>107159</v>
      </c>
      <c r="H50" s="5" t="n">
        <v>138995</v>
      </c>
      <c r="I50" s="5" t="n">
        <v>102189</v>
      </c>
      <c r="J50" s="5" t="n">
        <v>99841</v>
      </c>
      <c r="K50" s="5" t="n">
        <v>139750</v>
      </c>
      <c r="L50" s="5" t="n">
        <v>24111</v>
      </c>
      <c r="M50" s="5" t="n">
        <v>91012</v>
      </c>
    </row>
    <row r="51">
      <c r="A51" s="4" t="inlineStr">
        <is>
          <t>Imprimante</t>
        </is>
      </c>
      <c r="B51" s="5" t="n">
        <v>128993</v>
      </c>
      <c r="C51" s="5" t="n">
        <v>121338</v>
      </c>
      <c r="D51" s="5" t="n">
        <v>39170</v>
      </c>
      <c r="E51" s="5" t="n">
        <v>61652</v>
      </c>
      <c r="F51" s="5" t="n">
        <v>149974</v>
      </c>
      <c r="G51" s="5" t="n">
        <v>40694</v>
      </c>
      <c r="H51" s="5" t="n">
        <v>125702</v>
      </c>
      <c r="I51" s="5" t="n">
        <v>89884</v>
      </c>
      <c r="J51" s="5" t="n">
        <v>117498</v>
      </c>
      <c r="K51" s="5" t="n">
        <v>28480</v>
      </c>
      <c r="L51" s="5" t="n">
        <v>148623</v>
      </c>
      <c r="M51" s="5" t="n">
        <v>128872</v>
      </c>
    </row>
    <row r="52">
      <c r="A52" s="4" t="inlineStr">
        <is>
          <t>Scanner</t>
        </is>
      </c>
      <c r="B52" s="5" t="n">
        <v>93005</v>
      </c>
      <c r="C52" s="5" t="n">
        <v>35603</v>
      </c>
      <c r="D52" s="5" t="n">
        <v>64050</v>
      </c>
      <c r="E52" s="5" t="n">
        <v>114679</v>
      </c>
      <c r="F52" s="5" t="n">
        <v>82218</v>
      </c>
      <c r="G52" s="5" t="n">
        <v>38865</v>
      </c>
      <c r="H52" s="5" t="n">
        <v>98931</v>
      </c>
      <c r="I52" s="5" t="n">
        <v>75579</v>
      </c>
      <c r="J52" s="5" t="n">
        <v>88406</v>
      </c>
      <c r="K52" s="5" t="n">
        <v>114549</v>
      </c>
      <c r="L52" s="5" t="n">
        <v>59325</v>
      </c>
      <c r="M52" s="5" t="n">
        <v>25782</v>
      </c>
    </row>
    <row r="53">
      <c r="A53" s="4" t="inlineStr">
        <is>
          <t>Tablette</t>
        </is>
      </c>
      <c r="B53" s="5" t="n">
        <v>24334</v>
      </c>
      <c r="C53" s="5" t="n">
        <v>145615</v>
      </c>
      <c r="D53" s="5" t="n">
        <v>92525</v>
      </c>
      <c r="E53" s="5" t="n">
        <v>49458</v>
      </c>
      <c r="F53" s="5" t="n">
        <v>62368</v>
      </c>
      <c r="G53" s="5" t="n">
        <v>49699</v>
      </c>
      <c r="H53" s="5" t="n">
        <v>53021</v>
      </c>
      <c r="I53" s="5" t="n">
        <v>115494</v>
      </c>
      <c r="J53" s="5" t="n">
        <v>133512</v>
      </c>
      <c r="K53" s="5" t="n">
        <v>111946</v>
      </c>
      <c r="L53" s="5" t="n">
        <v>124473</v>
      </c>
      <c r="M53" s="5" t="n">
        <v>148255</v>
      </c>
    </row>
    <row r="54">
      <c r="A54" s="4" t="inlineStr">
        <is>
          <t>SSD</t>
        </is>
      </c>
      <c r="B54" s="5" t="n">
        <v>110529</v>
      </c>
      <c r="C54" s="5" t="n">
        <v>58941</v>
      </c>
      <c r="D54" s="5" t="n">
        <v>38689</v>
      </c>
      <c r="E54" s="5" t="n">
        <v>132590</v>
      </c>
      <c r="F54" s="5" t="n">
        <v>37681</v>
      </c>
      <c r="G54" s="5" t="n">
        <v>138590</v>
      </c>
      <c r="H54" s="5" t="n">
        <v>27752</v>
      </c>
      <c r="I54" s="5" t="n">
        <v>21096</v>
      </c>
      <c r="J54" s="5" t="n">
        <v>49405</v>
      </c>
      <c r="K54" s="5" t="n">
        <v>54683</v>
      </c>
      <c r="L54" s="5" t="n">
        <v>25654</v>
      </c>
      <c r="M54" s="5" t="n">
        <v>120241</v>
      </c>
    </row>
    <row r="55">
      <c r="A55" s="4" t="inlineStr">
        <is>
          <t>Routeur</t>
        </is>
      </c>
      <c r="B55" s="5" t="n">
        <v>107734</v>
      </c>
      <c r="C55" s="5" t="n">
        <v>119918</v>
      </c>
      <c r="D55" s="5" t="n">
        <v>45361</v>
      </c>
      <c r="E55" s="5" t="n">
        <v>116442</v>
      </c>
      <c r="F55" s="5" t="n">
        <v>129930</v>
      </c>
      <c r="G55" s="5" t="n">
        <v>32721</v>
      </c>
      <c r="H55" s="5" t="n">
        <v>130886</v>
      </c>
      <c r="I55" s="5" t="n">
        <v>62634</v>
      </c>
      <c r="J55" s="5" t="n">
        <v>79099</v>
      </c>
      <c r="K55" s="5" t="n">
        <v>128947</v>
      </c>
      <c r="L55" s="5" t="n">
        <v>100948</v>
      </c>
      <c r="M55" s="5" t="n">
        <v>126732</v>
      </c>
    </row>
    <row r="56">
      <c r="A56" s="4" t="inlineStr">
        <is>
          <t>Switch</t>
        </is>
      </c>
      <c r="B56" s="5" t="n">
        <v>47118</v>
      </c>
      <c r="C56" s="5" t="n">
        <v>89431</v>
      </c>
      <c r="D56" s="5" t="n">
        <v>107770</v>
      </c>
      <c r="E56" s="5" t="n">
        <v>124518</v>
      </c>
      <c r="F56" s="5" t="n">
        <v>85274</v>
      </c>
      <c r="G56" s="5" t="n">
        <v>22023</v>
      </c>
      <c r="H56" s="5" t="n">
        <v>113330</v>
      </c>
      <c r="I56" s="5" t="n">
        <v>131553</v>
      </c>
      <c r="J56" s="5" t="n">
        <v>88978</v>
      </c>
      <c r="K56" s="5" t="n">
        <v>94893</v>
      </c>
      <c r="L56" s="5" t="n">
        <v>117657</v>
      </c>
      <c r="M56" s="5" t="n">
        <v>137478</v>
      </c>
    </row>
  </sheetData>
  <mergeCells count="5">
    <mergeCell ref="A2:F2"/>
    <mergeCell ref="A14:F14"/>
    <mergeCell ref="A1:F1"/>
    <mergeCell ref="A4:F4"/>
    <mergeCell ref="A43:F4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2026-02-22T19:47:08Z</dcterms:created>
  <dcterms:modified xmlns:dcterms="http://purl.org/dc/terms/" xmlns:xsi="http://www.w3.org/2001/XMLSchema-instance" xsi:type="dcterms:W3CDTF">2026-02-22T19:49:14Z</dcterms:modified>
</cp:coreProperties>
</file>